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wati\Desktop\"/>
    </mc:Choice>
  </mc:AlternateContent>
  <bookViews>
    <workbookView xWindow="0" yWindow="0" windowWidth="9384" windowHeight="8160"/>
  </bookViews>
  <sheets>
    <sheet name="Interface" sheetId="1" r:id="rId1"/>
    <sheet name="Plant" sheetId="7" r:id="rId2"/>
    <sheet name="Distribution_Center" sheetId="3" r:id="rId3"/>
    <sheet name="Optimization" sheetId="14" r:id="rId4"/>
    <sheet name="Orders" sheetId="2" r:id="rId5"/>
    <sheet name="Products" sheetId="5" r:id="rId6"/>
    <sheet name="Manufactures" sheetId="8" r:id="rId7"/>
    <sheet name="Stores" sheetId="9" r:id="rId8"/>
    <sheet name="Requires" sheetId="10" r:id="rId9"/>
    <sheet name="ShipsPL_DC" sheetId="11" r:id="rId10"/>
    <sheet name="Dealer" sheetId="4" r:id="rId11"/>
    <sheet name="ShipDC_D" sheetId="13" r:id="rId12"/>
    <sheet name="Customer" sheetId="6" r:id="rId13"/>
  </sheets>
  <functionGroups builtInGroupCount="18"/>
  <externalReferences>
    <externalReference r:id="rId14"/>
    <externalReference r:id="rId15"/>
  </externalReferences>
  <definedNames>
    <definedName name="_xlnm._FilterDatabase" localSheetId="4" hidden="1">Orders!$C$5:$L$10000</definedName>
    <definedName name="_xlnm._FilterDatabase" localSheetId="5" hidden="1">Products!$C$5:$J$1000</definedName>
    <definedName name="AllOrdered">Orders!$H$15:$H$365</definedName>
    <definedName name="AllOrders">Orders!$H$6:$H$305</definedName>
    <definedName name="AllProduct">Orders!$G$6:$G$305</definedName>
    <definedName name="AllProducts">Orders!$G$20:$G$451</definedName>
    <definedName name="AllReceived">Distribution_Center!$F$6:$F$305</definedName>
    <definedName name="Capacity" localSheetId="3">#REF!</definedName>
    <definedName name="Capacity">#REF!</definedName>
    <definedName name="Cascade">Products!$D$5</definedName>
    <definedName name="Cat_Validation">OFFSET(Products!$C$6,,,COUNTA(Products!$C$6:$C$1000))</definedName>
    <definedName name="Category">Products!$L$6:$L$329</definedName>
    <definedName name="Category1">Products!$L$6:$L$14</definedName>
    <definedName name="ChartDate">OFFSET(Interface!$L$25,,,COUNTA(Interface!$L$25:$L$1000))</definedName>
    <definedName name="ChartTotal">OFFSET(Interface!$N$25,,,COUNTA(Interface!$N$25:$N$1000))</definedName>
    <definedName name="_xlnm.Criteria" localSheetId="0">Interface!$AA$7:$AC$8</definedName>
    <definedName name="Customers">Customer!$C$6:$C$265</definedName>
    <definedName name="CustomerSheet">Customer!$A$1</definedName>
    <definedName name="Demand" localSheetId="3">Optimization!$C$65:$G$67</definedName>
    <definedName name="Demand">#REF!</definedName>
    <definedName name="ExternalData_1" localSheetId="3" hidden="1">Optimization!#REF!</definedName>
    <definedName name="ExternalData_2" localSheetId="3" hidden="1">Optimization!#REF!</definedName>
    <definedName name="ExternalData_3" localSheetId="3" hidden="1">Optimization!#REF!</definedName>
    <definedName name="ExternalData_4" localSheetId="3" hidden="1">Optimization!#REF!</definedName>
    <definedName name="ExternalData_5" localSheetId="3" hidden="1">Optimization!#REF!</definedName>
    <definedName name="_xlnm.Extract" localSheetId="0">Interface!$L$24:$N$24</definedName>
    <definedName name="Factory_capacity" localSheetId="3">Optimization!$H$41:$H$46</definedName>
    <definedName name="Factory_capacity">#REF!</definedName>
    <definedName name="Factory_to_customer" localSheetId="3">Optimization!#REF!</definedName>
    <definedName name="Factory_to_customer">#REF!</definedName>
    <definedName name="Factory_to_warehouse" localSheetId="3">Optimization!$C$27:$F$32</definedName>
    <definedName name="Factory_to_warehouse">#REF!</definedName>
    <definedName name="Gallons_loaded" localSheetId="3">#REF!</definedName>
    <definedName name="Gallons_loaded">#REF!</definedName>
    <definedName name="GoHome">Interface!$A$1</definedName>
    <definedName name="Loading_decisions" localSheetId="3">#REF!</definedName>
    <definedName name="Loading_decisions">#REF!</definedName>
    <definedName name="lssolver_est" localSheetId="3" hidden="1">1</definedName>
    <definedName name="lssolver_itr" localSheetId="3" hidden="1">100</definedName>
    <definedName name="lssolver_neg" localSheetId="3" hidden="1">1</definedName>
    <definedName name="lssolver_piv" localSheetId="3" hidden="1">0.000001</definedName>
    <definedName name="lssolver_pre" localSheetId="3" hidden="1">0.001</definedName>
    <definedName name="lssolver_red" localSheetId="3" hidden="1">0.000001</definedName>
    <definedName name="lssolver_rep" localSheetId="3" hidden="1">2</definedName>
    <definedName name="lssolver_scl" localSheetId="3" hidden="1">2</definedName>
    <definedName name="lssolver_sho" localSheetId="3" hidden="1">2</definedName>
    <definedName name="lssolver_sol" localSheetId="3" hidden="1">0.0001</definedName>
    <definedName name="lssolver_tim" localSheetId="3" hidden="1">100</definedName>
    <definedName name="lssolver_tol" localSheetId="3" hidden="1">0.05</definedName>
    <definedName name="Maximum_gallons" localSheetId="3">#REF!</definedName>
    <definedName name="Maximum_gallons">#REF!</definedName>
    <definedName name="Open_or_close" localSheetId="3">#REF!</definedName>
    <definedName name="Open_or_close">#REF!</definedName>
    <definedName name="OrderSheet">Orders!$A$1</definedName>
    <definedName name="Products">Products!$A$1</definedName>
    <definedName name="Products_made" localSheetId="3">#REF!</definedName>
    <definedName name="Products_made">#REF!</definedName>
    <definedName name="Products_shipped" localSheetId="3">#REF!</definedName>
    <definedName name="Products_shipped">#REF!</definedName>
    <definedName name="qpsolver_itr" localSheetId="3" hidden="1">100</definedName>
    <definedName name="qpsolver_lin" localSheetId="3" hidden="1">1</definedName>
    <definedName name="qpsolver_neg" localSheetId="3" hidden="1">1</definedName>
    <definedName name="qpsolver_piv" localSheetId="3" hidden="1">0.000001</definedName>
    <definedName name="qpsolver_pre" localSheetId="3" hidden="1">0.001</definedName>
    <definedName name="qpsolver_red" localSheetId="3" hidden="1">0.000001</definedName>
    <definedName name="qpsolver_rep" localSheetId="3" hidden="1">2</definedName>
    <definedName name="qpsolver_scl" localSheetId="3" hidden="1">2</definedName>
    <definedName name="qpsolver_sho" localSheetId="3" hidden="1">2</definedName>
    <definedName name="qpsolver_tim" localSheetId="3" hidden="1">100</definedName>
    <definedName name="qpsolver_tol" localSheetId="3" hidden="1">0.05</definedName>
    <definedName name="ReceivedTot">Distribution_Center!$G$6:$G$164</definedName>
    <definedName name="Reorder">OFFSET(Products!$J$6,,,COUNTA(Products!$J$6:$J$1000))</definedName>
    <definedName name="Reorder1">Products!$J$13:$J$15</definedName>
    <definedName name="Reorder2">Products!$J$19:$J$21</definedName>
    <definedName name="scen_result" localSheetId="3" hidden="1">#VALUE!</definedName>
    <definedName name="sencount" hidden="1">2</definedName>
    <definedName name="solver_adj" localSheetId="3" hidden="1">Optimization!$C$27:$F$32,Optimization!$C$50:$G$61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bd" localSheetId="3" hidden="1">2</definedName>
    <definedName name="solver_itr" localSheetId="3" hidden="1">100</definedName>
    <definedName name="solver_lhs1" localSheetId="3" hidden="1">Optimization!$C$33:$F$35</definedName>
    <definedName name="solver_lhs2" localSheetId="3" hidden="1">Optimization!$G$41:$G$46</definedName>
    <definedName name="solver_lhs3" localSheetId="3" hidden="1">Optimization!$C$62:$G$64</definedName>
    <definedName name="solver_lhs4" localSheetId="3" hidden="1">Optimization!$I$50:$I$61</definedName>
    <definedName name="solver_lhs5" localSheetId="3" hidden="1">Optimization!$C$33:$F$35</definedName>
    <definedName name="solver_lhs6" localSheetId="3" hidden="1">Optimization!$C$27:$F$32</definedName>
    <definedName name="solver_lhs7" localSheetId="3" hidden="1">Optimization!$C$33:$F$35</definedName>
    <definedName name="solver_lin" localSheetId="3" hidden="1">1</definedName>
    <definedName name="solver_mip" localSheetId="3" hidden="1">1000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1000</definedName>
    <definedName name="solver_num" localSheetId="3" hidden="1">4</definedName>
    <definedName name="solver_nwt" localSheetId="3" hidden="1">1</definedName>
    <definedName name="solver_ofx" localSheetId="3" hidden="1">2</definedName>
    <definedName name="solver_opt" localSheetId="3" hidden="1">Optimization!$C$69</definedName>
    <definedName name="solver_piv" localSheetId="3" hidden="1">0.000001</definedName>
    <definedName name="solver_pre" localSheetId="3" hidden="1">0.001</definedName>
    <definedName name="solver_pro" localSheetId="3" hidden="1">2</definedName>
    <definedName name="solver_rbv" localSheetId="3" hidden="1">1</definedName>
    <definedName name="solver_red" localSheetId="3" hidden="1">0.000001</definedName>
    <definedName name="solver_rel1" localSheetId="3" hidden="1">1</definedName>
    <definedName name="solver_rel2" localSheetId="3" hidden="1">1</definedName>
    <definedName name="solver_rel3" localSheetId="3" hidden="1">3</definedName>
    <definedName name="solver_rel4" localSheetId="3" hidden="1">2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o" localSheetId="3" hidden="1">2</definedName>
    <definedName name="solver_rep" localSheetId="3" hidden="1">2</definedName>
    <definedName name="solver_rhs1" localSheetId="3" hidden="1">Optimization!$C$36:$F$38</definedName>
    <definedName name="solver_rhs2" localSheetId="3" hidden="1">Optimization!$H$41:$H$46</definedName>
    <definedName name="solver_rhs3" localSheetId="3" hidden="1">Optimization!$C$65:$G$67</definedName>
    <definedName name="solver_rhs4" localSheetId="3" hidden="1">Optimization!$H$50:$H$61</definedName>
    <definedName name="solver_rhs5" localSheetId="3" hidden="1">Optimization!Warehouse_capacity</definedName>
    <definedName name="solver_rhs6" localSheetId="3" hidden="1">0</definedName>
    <definedName name="solver_rhs7" localSheetId="3" hidden="1">Optimization!Warehouse_capacity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100</definedName>
    <definedName name="solver_tmp" localSheetId="3" hidden="1">Optimization!Demand</definedName>
    <definedName name="solver_tol" localSheetId="3" hidden="1">0.05</definedName>
    <definedName name="solver_typ" localSheetId="3" hidden="1">2</definedName>
    <definedName name="solver_val" localSheetId="3" hidden="1">0</definedName>
    <definedName name="solver_ver" localSheetId="3" hidden="1">3</definedName>
    <definedName name="solver_ver">1.2</definedName>
    <definedName name="sssolver_drv" localSheetId="3" hidden="1">1</definedName>
    <definedName name="sssolver_est" localSheetId="3" hidden="1">1</definedName>
    <definedName name="sssolver_itr" localSheetId="3" hidden="1">100</definedName>
    <definedName name="sssolver_lin" localSheetId="3" hidden="1">1</definedName>
    <definedName name="sssolver_neg" localSheetId="3" hidden="1">1</definedName>
    <definedName name="sssolver_nwt" localSheetId="3" hidden="1">1</definedName>
    <definedName name="sssolver_pre" localSheetId="3" hidden="1">0.001</definedName>
    <definedName name="sssolver_rep" localSheetId="3" hidden="1">2</definedName>
    <definedName name="sssolver_scl" localSheetId="3" hidden="1">2</definedName>
    <definedName name="sssolver_sho" localSheetId="3" hidden="1">2</definedName>
    <definedName name="sssolver_tim" localSheetId="3" hidden="1">100</definedName>
    <definedName name="sssolver_tol" localSheetId="3" hidden="1">0.05</definedName>
    <definedName name="StockSheet">Distribution_Center!$A$1</definedName>
    <definedName name="Supplier">Dealer!$A$1</definedName>
    <definedName name="Total_cost" localSheetId="3">Optimization!$C$69</definedName>
    <definedName name="Total_cost">#REF!</definedName>
    <definedName name="Total_decisions" localSheetId="3">#REF!</definedName>
    <definedName name="Total_decisions">#REF!</definedName>
    <definedName name="Total_from_factory" localSheetId="3">Optimization!$G$41:$G$46</definedName>
    <definedName name="Total_from_factory">#REF!</definedName>
    <definedName name="Total_from_warehouse" localSheetId="3">Optimization!$H$50:$H$61</definedName>
    <definedName name="Total_from_warehouse">#REF!</definedName>
    <definedName name="Total_from_warehouse1" localSheetId="3">#REF!</definedName>
    <definedName name="Total_from_warehouse1">#REF!</definedName>
    <definedName name="Total_from_warehouse2" localSheetId="3">#REF!</definedName>
    <definedName name="Total_from_warehouse2">#REF!</definedName>
    <definedName name="Total_from_warehouse3" localSheetId="3">#REF!</definedName>
    <definedName name="Total_from_warehouse3">#REF!</definedName>
    <definedName name="Total_from_warehouse4" localSheetId="3">#REF!</definedName>
    <definedName name="Total_from_warehouse4">#REF!</definedName>
    <definedName name="Total_gallons" localSheetId="3">#REF!</definedName>
    <definedName name="Total_gallons">#REF!</definedName>
    <definedName name="Total_loss" localSheetId="3">#REF!</definedName>
    <definedName name="Total_loss">#REF!</definedName>
    <definedName name="Total_received" localSheetId="3">#REF!</definedName>
    <definedName name="Total_received">#REF!</definedName>
    <definedName name="Total_shipped" localSheetId="3">#REF!</definedName>
    <definedName name="Total_shipped">#REF!</definedName>
    <definedName name="Total_to_customer" localSheetId="3">Optimization!$C$62:$G$64</definedName>
    <definedName name="Total_to_customer">#REF!</definedName>
    <definedName name="Total_to_warehouse" localSheetId="3">Optimization!$I$50:$I$61</definedName>
    <definedName name="Total_to_warehouse">#REF!</definedName>
    <definedName name="Total_to_warehouse1" localSheetId="3">#REF!</definedName>
    <definedName name="Total_to_warehouse1">#REF!</definedName>
    <definedName name="Total_to_warehouse2" localSheetId="3">#REF!</definedName>
    <definedName name="Total_to_warehouse2">#REF!</definedName>
    <definedName name="Total_to_warehouse3" localSheetId="3">#REF!</definedName>
    <definedName name="Total_to_warehouse3">#REF!</definedName>
    <definedName name="Total_to_warehouse4" localSheetId="3">#REF!</definedName>
    <definedName name="Total_to_warehouse4">#REF!</definedName>
    <definedName name="Warehouse_capacity" localSheetId="3">Optimization!$C$36:$F$38</definedName>
    <definedName name="Warehouse_capacity">#REF!</definedName>
    <definedName name="Warehouse_customer" localSheetId="3">Optimization!$C$50:$G$61</definedName>
    <definedName name="Warehouse_customer">#REF!</definedName>
    <definedName name="Warehouse_to_customer" localSheetId="3">#REF!</definedName>
    <definedName name="Warehouse_to_customer">#REF!</definedName>
  </definedNames>
  <calcPr calcId="171027"/>
</workbook>
</file>

<file path=xl/calcChain.xml><?xml version="1.0" encoding="utf-8"?>
<calcChain xmlns="http://schemas.openxmlformats.org/spreadsheetml/2006/main">
  <c r="C69" i="14" l="1"/>
  <c r="G64" i="14"/>
  <c r="F64" i="14"/>
  <c r="E64" i="14"/>
  <c r="D64" i="14"/>
  <c r="C64" i="14"/>
  <c r="G63" i="14"/>
  <c r="F63" i="14"/>
  <c r="E63" i="14"/>
  <c r="D63" i="14"/>
  <c r="C63" i="14"/>
  <c r="G62" i="14"/>
  <c r="F62" i="14"/>
  <c r="E62" i="14"/>
  <c r="D62" i="14"/>
  <c r="C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F35" i="14"/>
  <c r="I61" i="14" s="1"/>
  <c r="E35" i="14"/>
  <c r="I58" i="14" s="1"/>
  <c r="D35" i="14"/>
  <c r="I55" i="14" s="1"/>
  <c r="C35" i="14"/>
  <c r="I52" i="14" s="1"/>
  <c r="F34" i="14"/>
  <c r="I60" i="14" s="1"/>
  <c r="E34" i="14"/>
  <c r="I57" i="14" s="1"/>
  <c r="D34" i="14"/>
  <c r="I54" i="14" s="1"/>
  <c r="C34" i="14"/>
  <c r="I51" i="14" s="1"/>
  <c r="F33" i="14"/>
  <c r="I59" i="14" s="1"/>
  <c r="E33" i="14"/>
  <c r="I56" i="14" s="1"/>
  <c r="D33" i="14"/>
  <c r="I53" i="14" s="1"/>
  <c r="C33" i="14"/>
  <c r="I50" i="14" s="1"/>
  <c r="G32" i="14"/>
  <c r="G46" i="14" s="1"/>
  <c r="G31" i="14"/>
  <c r="G45" i="14" s="1"/>
  <c r="G30" i="14"/>
  <c r="G44" i="14" s="1"/>
  <c r="G29" i="14"/>
  <c r="G43" i="14" s="1"/>
  <c r="G28" i="14"/>
  <c r="G42" i="14" s="1"/>
  <c r="G27" i="14"/>
  <c r="G41" i="14" s="1"/>
  <c r="S2" i="6" l="1"/>
  <c r="B6" i="5"/>
  <c r="H61" i="13" l="1"/>
  <c r="G61" i="13"/>
  <c r="F61" i="13"/>
  <c r="E61" i="13"/>
  <c r="H60" i="13"/>
  <c r="G60" i="13"/>
  <c r="F60" i="13"/>
  <c r="E60" i="13"/>
  <c r="H59" i="13"/>
  <c r="G59" i="13"/>
  <c r="F59" i="13"/>
  <c r="E59" i="13"/>
  <c r="H58" i="13"/>
  <c r="G58" i="13"/>
  <c r="F58" i="13"/>
  <c r="E58" i="13"/>
  <c r="H57" i="13"/>
  <c r="G57" i="13"/>
  <c r="F57" i="13"/>
  <c r="E57" i="13"/>
  <c r="H56" i="13"/>
  <c r="G56" i="13"/>
  <c r="F56" i="13"/>
  <c r="E56" i="13"/>
  <c r="H55" i="13"/>
  <c r="G55" i="13"/>
  <c r="F55" i="13"/>
  <c r="E55" i="13"/>
  <c r="H54" i="13"/>
  <c r="G54" i="13"/>
  <c r="F54" i="13"/>
  <c r="E54" i="13"/>
  <c r="I54" i="13" s="1"/>
  <c r="H53" i="13"/>
  <c r="G53" i="13"/>
  <c r="F53" i="13"/>
  <c r="E53" i="13"/>
  <c r="H52" i="13"/>
  <c r="G52" i="13"/>
  <c r="F52" i="13"/>
  <c r="E52" i="13"/>
  <c r="H51" i="13"/>
  <c r="G51" i="13"/>
  <c r="F51" i="13"/>
  <c r="E51" i="13"/>
  <c r="H50" i="13"/>
  <c r="G50" i="13"/>
  <c r="F50" i="13"/>
  <c r="E50" i="13"/>
  <c r="H49" i="13"/>
  <c r="G49" i="13"/>
  <c r="F49" i="13"/>
  <c r="E49" i="13"/>
  <c r="H48" i="13"/>
  <c r="G48" i="13"/>
  <c r="F48" i="13"/>
  <c r="E48" i="13"/>
  <c r="H47" i="13"/>
  <c r="G47" i="13"/>
  <c r="F47" i="13"/>
  <c r="E47" i="13"/>
  <c r="H46" i="13"/>
  <c r="G46" i="13"/>
  <c r="F46" i="13"/>
  <c r="E46" i="13"/>
  <c r="H45" i="13"/>
  <c r="G45" i="13"/>
  <c r="F45" i="13"/>
  <c r="E45" i="13"/>
  <c r="H44" i="13"/>
  <c r="G44" i="13"/>
  <c r="F44" i="13"/>
  <c r="E44" i="13"/>
  <c r="H43" i="13"/>
  <c r="G43" i="13"/>
  <c r="F43" i="13"/>
  <c r="E43" i="13"/>
  <c r="H42" i="13"/>
  <c r="G42" i="13"/>
  <c r="F42" i="13"/>
  <c r="E42" i="13"/>
  <c r="H41" i="13"/>
  <c r="G41" i="13"/>
  <c r="F41" i="13"/>
  <c r="E41" i="13"/>
  <c r="H40" i="13"/>
  <c r="G40" i="13"/>
  <c r="F40" i="13"/>
  <c r="E40" i="13"/>
  <c r="H39" i="13"/>
  <c r="G39" i="13"/>
  <c r="F39" i="13"/>
  <c r="E39" i="13"/>
  <c r="H38" i="13"/>
  <c r="G38" i="13"/>
  <c r="F38" i="13"/>
  <c r="E38" i="13"/>
  <c r="H37" i="13"/>
  <c r="G37" i="13"/>
  <c r="F37" i="13"/>
  <c r="E37" i="13"/>
  <c r="H36" i="13"/>
  <c r="G36" i="13"/>
  <c r="F36" i="13"/>
  <c r="E36" i="13"/>
  <c r="H35" i="13"/>
  <c r="G35" i="13"/>
  <c r="F35" i="13"/>
  <c r="E35" i="13"/>
  <c r="H34" i="13"/>
  <c r="G34" i="13"/>
  <c r="F34" i="13"/>
  <c r="E34" i="13"/>
  <c r="H33" i="13"/>
  <c r="G33" i="13"/>
  <c r="F33" i="13"/>
  <c r="E33" i="13"/>
  <c r="H32" i="13"/>
  <c r="G32" i="13"/>
  <c r="F32" i="13"/>
  <c r="E32" i="13"/>
  <c r="H31" i="13"/>
  <c r="G31" i="13"/>
  <c r="F31" i="13"/>
  <c r="E31" i="13"/>
  <c r="H30" i="13"/>
  <c r="G30" i="13"/>
  <c r="F30" i="13"/>
  <c r="E30" i="13"/>
  <c r="H29" i="13"/>
  <c r="G29" i="13"/>
  <c r="F29" i="13"/>
  <c r="E29" i="13"/>
  <c r="H28" i="13"/>
  <c r="G28" i="13"/>
  <c r="F28" i="13"/>
  <c r="E28" i="13"/>
  <c r="H27" i="13"/>
  <c r="G27" i="13"/>
  <c r="F27" i="13"/>
  <c r="E27" i="13"/>
  <c r="H26" i="13"/>
  <c r="G26" i="13"/>
  <c r="F26" i="13"/>
  <c r="E26" i="13"/>
  <c r="H25" i="13"/>
  <c r="G25" i="13"/>
  <c r="F25" i="13"/>
  <c r="E25" i="13"/>
  <c r="H24" i="13"/>
  <c r="G24" i="13"/>
  <c r="F24" i="13"/>
  <c r="E24" i="13"/>
  <c r="H23" i="13"/>
  <c r="G23" i="13"/>
  <c r="F23" i="13"/>
  <c r="E23" i="13"/>
  <c r="H22" i="13"/>
  <c r="G22" i="13"/>
  <c r="F22" i="13"/>
  <c r="E22" i="13"/>
  <c r="H21" i="13"/>
  <c r="G21" i="13"/>
  <c r="F21" i="13"/>
  <c r="E21" i="13"/>
  <c r="H20" i="13"/>
  <c r="G20" i="13"/>
  <c r="F20" i="13"/>
  <c r="E20" i="13"/>
  <c r="H19" i="13"/>
  <c r="G19" i="13"/>
  <c r="F19" i="13"/>
  <c r="E19" i="13"/>
  <c r="H18" i="13"/>
  <c r="G18" i="13"/>
  <c r="F18" i="13"/>
  <c r="E18" i="13"/>
  <c r="H17" i="13"/>
  <c r="G17" i="13"/>
  <c r="F17" i="13"/>
  <c r="E17" i="13"/>
  <c r="H16" i="13"/>
  <c r="G16" i="13"/>
  <c r="F16" i="13"/>
  <c r="E16" i="13"/>
  <c r="H15" i="13"/>
  <c r="G15" i="13"/>
  <c r="F15" i="13"/>
  <c r="E15" i="13"/>
  <c r="H14" i="13"/>
  <c r="G14" i="13"/>
  <c r="F14" i="13"/>
  <c r="E14" i="13"/>
  <c r="H13" i="13"/>
  <c r="G13" i="13"/>
  <c r="F13" i="13"/>
  <c r="E13" i="13"/>
  <c r="H12" i="13"/>
  <c r="G12" i="13"/>
  <c r="F12" i="13"/>
  <c r="E12" i="13"/>
  <c r="H11" i="13"/>
  <c r="G11" i="13"/>
  <c r="F11" i="13"/>
  <c r="E11" i="13"/>
  <c r="H10" i="13"/>
  <c r="G10" i="13"/>
  <c r="F10" i="13"/>
  <c r="E10" i="13"/>
  <c r="H9" i="13"/>
  <c r="G9" i="13"/>
  <c r="F9" i="13"/>
  <c r="E9" i="13"/>
  <c r="H8" i="13"/>
  <c r="G8" i="13"/>
  <c r="F8" i="13"/>
  <c r="E8" i="13"/>
  <c r="H7" i="13"/>
  <c r="G7" i="13"/>
  <c r="F7" i="13"/>
  <c r="E7" i="13"/>
  <c r="H6" i="13"/>
  <c r="G6" i="13"/>
  <c r="F6" i="13"/>
  <c r="E6" i="13"/>
  <c r="H5" i="13"/>
  <c r="G5" i="13"/>
  <c r="F5" i="13"/>
  <c r="E5" i="13"/>
  <c r="H4" i="13"/>
  <c r="G4" i="13"/>
  <c r="F4" i="13"/>
  <c r="E4" i="13"/>
  <c r="H3" i="13"/>
  <c r="G3" i="13"/>
  <c r="F3" i="13"/>
  <c r="E3" i="13"/>
  <c r="H2" i="13"/>
  <c r="G2" i="13"/>
  <c r="F2" i="13"/>
  <c r="E2" i="13"/>
  <c r="I55" i="13" l="1"/>
  <c r="I56" i="13"/>
  <c r="I57" i="13"/>
  <c r="I58" i="13"/>
  <c r="I59" i="13"/>
  <c r="I60" i="13"/>
  <c r="I61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H25" i="11"/>
  <c r="G25" i="11"/>
  <c r="F25" i="11"/>
  <c r="E25" i="11"/>
  <c r="H24" i="11"/>
  <c r="G24" i="11"/>
  <c r="F24" i="11"/>
  <c r="E24" i="11"/>
  <c r="H23" i="11"/>
  <c r="G23" i="11"/>
  <c r="F23" i="11"/>
  <c r="E23" i="11"/>
  <c r="H22" i="11"/>
  <c r="G22" i="11"/>
  <c r="F22" i="11"/>
  <c r="E22" i="11"/>
  <c r="H21" i="11"/>
  <c r="G21" i="11"/>
  <c r="F21" i="11"/>
  <c r="E21" i="11"/>
  <c r="H20" i="11"/>
  <c r="G20" i="11"/>
  <c r="F20" i="11"/>
  <c r="E20" i="11"/>
  <c r="H19" i="11"/>
  <c r="G19" i="11"/>
  <c r="F19" i="11"/>
  <c r="E19" i="11"/>
  <c r="H18" i="11"/>
  <c r="G18" i="11"/>
  <c r="F18" i="11"/>
  <c r="E18" i="11"/>
  <c r="H17" i="11"/>
  <c r="G17" i="11"/>
  <c r="F17" i="11"/>
  <c r="E17" i="11"/>
  <c r="H16" i="11"/>
  <c r="G16" i="11"/>
  <c r="F16" i="11"/>
  <c r="E16" i="11"/>
  <c r="H15" i="11"/>
  <c r="G15" i="11"/>
  <c r="F15" i="11"/>
  <c r="E15" i="11"/>
  <c r="H14" i="11"/>
  <c r="G14" i="11"/>
  <c r="F14" i="11"/>
  <c r="E14" i="11"/>
  <c r="H13" i="11"/>
  <c r="G13" i="11"/>
  <c r="F13" i="11"/>
  <c r="E13" i="11"/>
  <c r="H12" i="11"/>
  <c r="G12" i="11"/>
  <c r="F12" i="11"/>
  <c r="E12" i="11"/>
  <c r="H11" i="11"/>
  <c r="G11" i="11"/>
  <c r="F11" i="11"/>
  <c r="E11" i="11"/>
  <c r="H10" i="11"/>
  <c r="G10" i="11"/>
  <c r="F10" i="11"/>
  <c r="E10" i="11"/>
  <c r="H9" i="11"/>
  <c r="G9" i="11"/>
  <c r="F9" i="11"/>
  <c r="E9" i="11"/>
  <c r="H8" i="11"/>
  <c r="G8" i="11"/>
  <c r="F8" i="11"/>
  <c r="E8" i="11"/>
  <c r="H7" i="11"/>
  <c r="G7" i="11"/>
  <c r="F7" i="11"/>
  <c r="E7" i="11"/>
  <c r="H6" i="11"/>
  <c r="G6" i="11"/>
  <c r="F6" i="11"/>
  <c r="E6" i="11"/>
  <c r="H5" i="11"/>
  <c r="G5" i="11"/>
  <c r="F5" i="11"/>
  <c r="E5" i="11"/>
  <c r="H4" i="11"/>
  <c r="G4" i="11"/>
  <c r="F4" i="11"/>
  <c r="E4" i="11"/>
  <c r="H3" i="11"/>
  <c r="G3" i="11"/>
  <c r="F3" i="11"/>
  <c r="E3" i="11"/>
  <c r="H2" i="11"/>
  <c r="G2" i="11"/>
  <c r="F2" i="11"/>
  <c r="E2" i="11"/>
  <c r="E7" i="8"/>
  <c r="D7" i="8"/>
  <c r="E6" i="8"/>
  <c r="D6" i="8"/>
  <c r="E5" i="8"/>
  <c r="D5" i="8"/>
  <c r="E4" i="8"/>
  <c r="D4" i="8"/>
  <c r="E3" i="8"/>
  <c r="D3" i="8"/>
  <c r="E2" i="8"/>
  <c r="D2" i="8"/>
  <c r="I2" i="11" l="1"/>
  <c r="I4" i="11"/>
  <c r="I6" i="11"/>
  <c r="I8" i="11"/>
  <c r="I11" i="11"/>
  <c r="I13" i="11"/>
  <c r="I15" i="11"/>
  <c r="I17" i="11"/>
  <c r="I19" i="11"/>
  <c r="I21" i="11"/>
  <c r="I23" i="11"/>
  <c r="I3" i="11"/>
  <c r="I5" i="11"/>
  <c r="I7" i="11"/>
  <c r="I9" i="11"/>
  <c r="I10" i="11"/>
  <c r="I12" i="11"/>
  <c r="I14" i="11"/>
  <c r="I16" i="11"/>
  <c r="I18" i="11"/>
  <c r="I20" i="11"/>
  <c r="I22" i="11"/>
  <c r="I24" i="11"/>
  <c r="I25" i="11"/>
  <c r="I134" i="5"/>
  <c r="J134" i="5" s="1"/>
  <c r="I135" i="5"/>
  <c r="J135" i="5" s="1"/>
  <c r="I136" i="5"/>
  <c r="J136" i="5" s="1"/>
  <c r="I137" i="5"/>
  <c r="J137" i="5" s="1"/>
  <c r="I138" i="5"/>
  <c r="J138" i="5" s="1"/>
  <c r="I139" i="5"/>
  <c r="J139" i="5" s="1"/>
  <c r="I140" i="5"/>
  <c r="J140" i="5" s="1"/>
  <c r="I141" i="5"/>
  <c r="J141" i="5" s="1"/>
  <c r="I142" i="5"/>
  <c r="J142" i="5" s="1"/>
  <c r="I143" i="5"/>
  <c r="J143" i="5" s="1"/>
  <c r="I144" i="5"/>
  <c r="J144" i="5" s="1"/>
  <c r="I145" i="5"/>
  <c r="J145" i="5" s="1"/>
  <c r="I146" i="5"/>
  <c r="J146" i="5" s="1"/>
  <c r="I147" i="5"/>
  <c r="J147" i="5" s="1"/>
  <c r="I148" i="5"/>
  <c r="J148" i="5" s="1"/>
  <c r="I149" i="5"/>
  <c r="J149" i="5" s="1"/>
  <c r="I150" i="5"/>
  <c r="J150" i="5" s="1"/>
  <c r="I151" i="5"/>
  <c r="J151" i="5" s="1"/>
  <c r="I152" i="5"/>
  <c r="J152" i="5" s="1"/>
  <c r="I153" i="5"/>
  <c r="J153" i="5" s="1"/>
  <c r="I154" i="5"/>
  <c r="J154" i="5" s="1"/>
  <c r="I155" i="5"/>
  <c r="J155" i="5" s="1"/>
  <c r="I156" i="5"/>
  <c r="J156" i="5" s="1"/>
  <c r="I157" i="5"/>
  <c r="J157" i="5" s="1"/>
  <c r="I158" i="5"/>
  <c r="J158" i="5" s="1"/>
  <c r="I159" i="5"/>
  <c r="J159" i="5" s="1"/>
  <c r="I160" i="5"/>
  <c r="J160" i="5" s="1"/>
  <c r="I161" i="5"/>
  <c r="J161" i="5" s="1"/>
  <c r="I162" i="5"/>
  <c r="J162" i="5" s="1"/>
  <c r="I163" i="5"/>
  <c r="J163" i="5" s="1"/>
  <c r="I164" i="5"/>
  <c r="J164" i="5" s="1"/>
  <c r="I165" i="5"/>
  <c r="J165" i="5" s="1"/>
  <c r="I166" i="5"/>
  <c r="J166" i="5" s="1"/>
  <c r="I167" i="5"/>
  <c r="J167" i="5" s="1"/>
  <c r="I168" i="5"/>
  <c r="J168" i="5" s="1"/>
  <c r="I169" i="5"/>
  <c r="J169" i="5" s="1"/>
  <c r="I170" i="5"/>
  <c r="J170" i="5" s="1"/>
  <c r="I171" i="5"/>
  <c r="J171" i="5" s="1"/>
  <c r="I172" i="5"/>
  <c r="J172" i="5" s="1"/>
  <c r="I173" i="5"/>
  <c r="J173" i="5" s="1"/>
  <c r="I174" i="5"/>
  <c r="J174" i="5" s="1"/>
  <c r="I175" i="5"/>
  <c r="J175" i="5" s="1"/>
  <c r="I176" i="5"/>
  <c r="J176" i="5" s="1"/>
  <c r="I177" i="5"/>
  <c r="J177" i="5" s="1"/>
  <c r="I178" i="5"/>
  <c r="J178" i="5" s="1"/>
  <c r="I179" i="5"/>
  <c r="J179" i="5" s="1"/>
  <c r="I180" i="5"/>
  <c r="J180" i="5" s="1"/>
  <c r="I181" i="5"/>
  <c r="J181" i="5" s="1"/>
  <c r="I182" i="5"/>
  <c r="J182" i="5" s="1"/>
  <c r="I183" i="5"/>
  <c r="J183" i="5" s="1"/>
  <c r="I184" i="5"/>
  <c r="J184" i="5" s="1"/>
  <c r="I185" i="5"/>
  <c r="J185" i="5" s="1"/>
  <c r="I186" i="5"/>
  <c r="J186" i="5" s="1"/>
  <c r="I187" i="5"/>
  <c r="J187" i="5" s="1"/>
  <c r="I188" i="5"/>
  <c r="J188" i="5" s="1"/>
  <c r="I189" i="5"/>
  <c r="J189" i="5" s="1"/>
  <c r="I190" i="5"/>
  <c r="J190" i="5" s="1"/>
  <c r="I191" i="5"/>
  <c r="J191" i="5" s="1"/>
  <c r="I192" i="5"/>
  <c r="J192" i="5" s="1"/>
  <c r="I193" i="5"/>
  <c r="J193" i="5" s="1"/>
  <c r="I194" i="5"/>
  <c r="J194" i="5" s="1"/>
  <c r="I195" i="5"/>
  <c r="J195" i="5" s="1"/>
  <c r="I196" i="5"/>
  <c r="J196" i="5" s="1"/>
  <c r="I197" i="5"/>
  <c r="J197" i="5" s="1"/>
  <c r="I198" i="5"/>
  <c r="J198" i="5" s="1"/>
  <c r="I199" i="5"/>
  <c r="J199" i="5" s="1"/>
  <c r="I200" i="5"/>
  <c r="J200" i="5" s="1"/>
  <c r="I201" i="5"/>
  <c r="J201" i="5" s="1"/>
  <c r="I202" i="5"/>
  <c r="J202" i="5" s="1"/>
  <c r="I203" i="5"/>
  <c r="J203" i="5" s="1"/>
  <c r="I204" i="5"/>
  <c r="J204" i="5" s="1"/>
  <c r="I205" i="5"/>
  <c r="J205" i="5" s="1"/>
  <c r="I206" i="5"/>
  <c r="J206" i="5" s="1"/>
  <c r="I207" i="5"/>
  <c r="J207" i="5" s="1"/>
  <c r="I208" i="5"/>
  <c r="J208" i="5" s="1"/>
  <c r="I209" i="5"/>
  <c r="J209" i="5" s="1"/>
  <c r="I210" i="5"/>
  <c r="J210" i="5" s="1"/>
  <c r="I211" i="5"/>
  <c r="J211" i="5" s="1"/>
  <c r="I212" i="5"/>
  <c r="J212" i="5" s="1"/>
  <c r="I213" i="5"/>
  <c r="J213" i="5" s="1"/>
  <c r="I214" i="5"/>
  <c r="J214" i="5" s="1"/>
  <c r="I215" i="5"/>
  <c r="J215" i="5" s="1"/>
  <c r="I216" i="5"/>
  <c r="J216" i="5" s="1"/>
  <c r="I217" i="5"/>
  <c r="J217" i="5" s="1"/>
  <c r="I218" i="5"/>
  <c r="J218" i="5" s="1"/>
  <c r="I219" i="5"/>
  <c r="J219" i="5" s="1"/>
  <c r="I220" i="5"/>
  <c r="J220" i="5" s="1"/>
  <c r="I221" i="5"/>
  <c r="J221" i="5" s="1"/>
  <c r="I222" i="5"/>
  <c r="J222" i="5" s="1"/>
  <c r="I223" i="5"/>
  <c r="J223" i="5" s="1"/>
  <c r="I224" i="5"/>
  <c r="J224" i="5" s="1"/>
  <c r="I225" i="5"/>
  <c r="J225" i="5" s="1"/>
  <c r="I226" i="5"/>
  <c r="J226" i="5" s="1"/>
  <c r="I227" i="5"/>
  <c r="J227" i="5" s="1"/>
  <c r="I228" i="5"/>
  <c r="J228" i="5" s="1"/>
  <c r="I229" i="5"/>
  <c r="J229" i="5" s="1"/>
  <c r="I230" i="5"/>
  <c r="J230" i="5" s="1"/>
  <c r="I231" i="5"/>
  <c r="J231" i="5" s="1"/>
  <c r="I232" i="5"/>
  <c r="J232" i="5" s="1"/>
  <c r="I233" i="5"/>
  <c r="J233" i="5" s="1"/>
  <c r="I234" i="5"/>
  <c r="J234" i="5" s="1"/>
  <c r="I235" i="5"/>
  <c r="J235" i="5" s="1"/>
  <c r="I236" i="5"/>
  <c r="J236" i="5" s="1"/>
  <c r="I237" i="5"/>
  <c r="J237" i="5" s="1"/>
  <c r="I238" i="5"/>
  <c r="I239" i="5"/>
  <c r="H7" i="5"/>
  <c r="J7" i="5" s="1"/>
  <c r="H8" i="5"/>
  <c r="J8" i="5" s="1"/>
  <c r="H9" i="5"/>
  <c r="J9" i="5" s="1"/>
  <c r="H10" i="5"/>
  <c r="J10" i="5" s="1"/>
  <c r="H11" i="5"/>
  <c r="J11" i="5" s="1"/>
  <c r="H12" i="5"/>
  <c r="J12" i="5" s="1"/>
  <c r="H13" i="5"/>
  <c r="J13" i="5" s="1"/>
  <c r="H14" i="5"/>
  <c r="J14" i="5" s="1"/>
  <c r="H15" i="5"/>
  <c r="J15" i="5" s="1"/>
  <c r="H16" i="5"/>
  <c r="J16" i="5" s="1"/>
  <c r="H17" i="5"/>
  <c r="J17" i="5" s="1"/>
  <c r="H18" i="5"/>
  <c r="J18" i="5" s="1"/>
  <c r="H19" i="5"/>
  <c r="J19" i="5" s="1"/>
  <c r="H20" i="5"/>
  <c r="J20" i="5" s="1"/>
  <c r="H21" i="5"/>
  <c r="J21" i="5" s="1"/>
  <c r="H22" i="5"/>
  <c r="J22" i="5" s="1"/>
  <c r="H23" i="5"/>
  <c r="J23" i="5" s="1"/>
  <c r="H24" i="5"/>
  <c r="J24" i="5" s="1"/>
  <c r="H25" i="5"/>
  <c r="J25" i="5" s="1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6" i="5"/>
  <c r="J6" i="5" s="1"/>
  <c r="G8" i="1" l="1"/>
  <c r="H8" i="1"/>
  <c r="F8" i="1"/>
  <c r="N23" i="1"/>
  <c r="AC8" i="1" l="1"/>
  <c r="AB8" i="1"/>
  <c r="AA8" i="1"/>
</calcChain>
</file>

<file path=xl/sharedStrings.xml><?xml version="1.0" encoding="utf-8"?>
<sst xmlns="http://schemas.openxmlformats.org/spreadsheetml/2006/main" count="786" uniqueCount="308">
  <si>
    <t>product</t>
  </si>
  <si>
    <t>cost</t>
  </si>
  <si>
    <t>a</t>
  </si>
  <si>
    <t>b</t>
  </si>
  <si>
    <t>c</t>
  </si>
  <si>
    <t>Category</t>
  </si>
  <si>
    <t>Code</t>
  </si>
  <si>
    <t>Qty</t>
  </si>
  <si>
    <t>In Stock</t>
  </si>
  <si>
    <t>Unit Price</t>
  </si>
  <si>
    <t>Total</t>
  </si>
  <si>
    <t xml:space="preserve">Date </t>
  </si>
  <si>
    <t>Order Number</t>
  </si>
  <si>
    <t>Unit price</t>
  </si>
  <si>
    <t>Ordered</t>
  </si>
  <si>
    <t>State</t>
  </si>
  <si>
    <t>Customer</t>
  </si>
  <si>
    <t>Sale Price</t>
  </si>
  <si>
    <t>Mobile</t>
  </si>
  <si>
    <t>Address</t>
  </si>
  <si>
    <t>City</t>
  </si>
  <si>
    <t>Alphen aan den Rijn</t>
  </si>
  <si>
    <t>Grimma</t>
  </si>
  <si>
    <t>Canberra</t>
  </si>
  <si>
    <t>Arras</t>
  </si>
  <si>
    <t>Hengelo</t>
  </si>
  <si>
    <t>Shippagan</t>
  </si>
  <si>
    <t>Blenheim</t>
  </si>
  <si>
    <t>Moose Jaw</t>
  </si>
  <si>
    <t>1477 Tortor. Road</t>
  </si>
  <si>
    <t>Huelva</t>
  </si>
  <si>
    <t>P.O. Box 147, 7391 Sociis Rd.</t>
  </si>
  <si>
    <t>Lanark</t>
  </si>
  <si>
    <t>Ap #740-4159 Sapien. Avenue</t>
  </si>
  <si>
    <t>Kerikeri</t>
  </si>
  <si>
    <t>P.O. Box 816, 3700 Lobortis St.</t>
  </si>
  <si>
    <t>Lincoln</t>
  </si>
  <si>
    <t>6061 Dictum Rd.</t>
  </si>
  <si>
    <t>Launceston</t>
  </si>
  <si>
    <t>210-2454 Diam. Rd.</t>
  </si>
  <si>
    <t>Bury St. Edmunds</t>
  </si>
  <si>
    <t>Ap #939-2494 Sem Road</t>
  </si>
  <si>
    <t>Hexham</t>
  </si>
  <si>
    <t>528-1222 Arcu. Road</t>
  </si>
  <si>
    <t>Flushing</t>
  </si>
  <si>
    <t>6163 Pellentesque Ave</t>
  </si>
  <si>
    <t>Davenport</t>
  </si>
  <si>
    <t>741 Odio Avenue</t>
  </si>
  <si>
    <t>Gasteiz</t>
  </si>
  <si>
    <t>6568 Luctus. Rd.</t>
  </si>
  <si>
    <t>Abingdon</t>
  </si>
  <si>
    <t>P.O. Box 773, 8484 Nullam Avenue</t>
  </si>
  <si>
    <t>Lansing</t>
  </si>
  <si>
    <t>P.O. Box 931, 2845 Congue Rd.</t>
  </si>
  <si>
    <t>408-9341 Erat St.</t>
  </si>
  <si>
    <t>378-8699 Eleifend Ave</t>
  </si>
  <si>
    <t>Ap #995-9282 Mattis. Av.</t>
  </si>
  <si>
    <t>NT</t>
  </si>
  <si>
    <t>P.O. Box 495, 5867 Ridiculus Rd.</t>
  </si>
  <si>
    <t>P.O. Box 951, 805 Blandit Rd.</t>
  </si>
  <si>
    <t>863-4541 Malesuada. St.</t>
  </si>
  <si>
    <t>649-8943 Torquent Road</t>
  </si>
  <si>
    <t>8382 Amet, Road</t>
  </si>
  <si>
    <t>Interdum Sed Limited</t>
  </si>
  <si>
    <t>Vivamus Sit Corporation</t>
  </si>
  <si>
    <t>Product</t>
  </si>
  <si>
    <t>Paper</t>
  </si>
  <si>
    <t>Books</t>
  </si>
  <si>
    <t>Pencils</t>
  </si>
  <si>
    <t>green</t>
  </si>
  <si>
    <t>blue</t>
  </si>
  <si>
    <t>pink</t>
  </si>
  <si>
    <t>purple</t>
  </si>
  <si>
    <t>yellow</t>
  </si>
  <si>
    <t>orange</t>
  </si>
  <si>
    <t>black</t>
  </si>
  <si>
    <t>read</t>
  </si>
  <si>
    <t>to read</t>
  </si>
  <si>
    <t>short</t>
  </si>
  <si>
    <t>Long</t>
  </si>
  <si>
    <t>Category List</t>
  </si>
  <si>
    <t>Dui Consulting Office</t>
  </si>
  <si>
    <t>Act</t>
  </si>
  <si>
    <t>Qld</t>
  </si>
  <si>
    <t>NSW</t>
  </si>
  <si>
    <t>Victoria</t>
  </si>
  <si>
    <t>South Aust</t>
  </si>
  <si>
    <t>West Aust</t>
  </si>
  <si>
    <t>Donec Sollicitudin Limited</t>
  </si>
  <si>
    <t>Turpis Egestas Inc.</t>
  </si>
  <si>
    <t>Rutrum Incorporated</t>
  </si>
  <si>
    <t>Non Ante Consulting</t>
  </si>
  <si>
    <t>Metus Vivamus Euismod Ltd</t>
  </si>
  <si>
    <t xml:space="preserve"> Sollicitudin Foundation</t>
  </si>
  <si>
    <t>Ultrice Incorporated</t>
  </si>
  <si>
    <t xml:space="preserve"> School Dis Limited</t>
  </si>
  <si>
    <t>Home Ipsum Company</t>
  </si>
  <si>
    <t>Et LLP Home School</t>
  </si>
  <si>
    <t>Home Etiam Consulting</t>
  </si>
  <si>
    <t>Home Foundation</t>
  </si>
  <si>
    <t>Nulla Foundation Hospital</t>
  </si>
  <si>
    <t>Limited Hospital</t>
  </si>
  <si>
    <t xml:space="preserve"> Hospital Industries</t>
  </si>
  <si>
    <t>Pens Black</t>
  </si>
  <si>
    <t>Pens Blue</t>
  </si>
  <si>
    <t>Reorder</t>
  </si>
  <si>
    <t>Out of Stock</t>
  </si>
  <si>
    <t>Reorder Now</t>
  </si>
  <si>
    <t>Fine</t>
  </si>
  <si>
    <t>Stock Acuity</t>
  </si>
  <si>
    <t>Start Date</t>
  </si>
  <si>
    <t>End Date</t>
  </si>
  <si>
    <t>Stock Checker</t>
  </si>
  <si>
    <t>First date</t>
  </si>
  <si>
    <t>Last date</t>
  </si>
  <si>
    <t>Steering Wheel</t>
  </si>
  <si>
    <t>Fire Bizz Co</t>
  </si>
  <si>
    <t>Jai Enterprises</t>
  </si>
  <si>
    <t>Quilt Technologies</t>
  </si>
  <si>
    <t>RMX Builders</t>
  </si>
  <si>
    <t>State Inc</t>
  </si>
  <si>
    <t>Arrow Innovations</t>
  </si>
  <si>
    <t>Ross Manufacturing</t>
  </si>
  <si>
    <t>Break Pads</t>
  </si>
  <si>
    <t>O Ring</t>
  </si>
  <si>
    <t>Inner Rotor</t>
  </si>
  <si>
    <t>Check valve</t>
  </si>
  <si>
    <t>Anchor mount</t>
  </si>
  <si>
    <t>trag arm</t>
  </si>
  <si>
    <t>tip holder</t>
  </si>
  <si>
    <t>inner ring</t>
  </si>
  <si>
    <t>left mount</t>
  </si>
  <si>
    <t>Steering Column</t>
  </si>
  <si>
    <t>Steering coupler</t>
  </si>
  <si>
    <t>Steering Knuckle</t>
  </si>
  <si>
    <t>Steering Pump</t>
  </si>
  <si>
    <t>Steering Rack</t>
  </si>
  <si>
    <t>Steering Gear</t>
  </si>
  <si>
    <t>Steering Box</t>
  </si>
  <si>
    <t>Seat Repair Kit</t>
  </si>
  <si>
    <t>Shoulder Pad</t>
  </si>
  <si>
    <t>Serpentine Belt Intercooled</t>
  </si>
  <si>
    <t>Seat cover Kit</t>
  </si>
  <si>
    <t>Performance kit</t>
  </si>
  <si>
    <t>Back Door</t>
  </si>
  <si>
    <t>Fender</t>
  </si>
  <si>
    <t>Front Door</t>
  </si>
  <si>
    <t>Lid</t>
  </si>
  <si>
    <t>Hatch</t>
  </si>
  <si>
    <t>Gate</t>
  </si>
  <si>
    <t>Quarter panel</t>
  </si>
  <si>
    <t>Bed side</t>
  </si>
  <si>
    <t>Rear door</t>
  </si>
  <si>
    <t>Rocker</t>
  </si>
  <si>
    <t>Windshield</t>
  </si>
  <si>
    <t>Misc Mounldings</t>
  </si>
  <si>
    <t>rocker</t>
  </si>
  <si>
    <t>Accessories</t>
  </si>
  <si>
    <t>Accessories Extension</t>
  </si>
  <si>
    <t>Accessories Comforter</t>
  </si>
  <si>
    <t>Accessories Pad</t>
  </si>
  <si>
    <t>Accessories Adjuster</t>
  </si>
  <si>
    <t>Engine-Fuel</t>
  </si>
  <si>
    <t>Locomotives</t>
  </si>
  <si>
    <t>Summer Locomotivess</t>
  </si>
  <si>
    <t>Winter Locomotivess</t>
  </si>
  <si>
    <t>4*4 Locomotivess</t>
  </si>
  <si>
    <t>Van Locomotivess</t>
  </si>
  <si>
    <t>All season LocomotivesS</t>
  </si>
  <si>
    <t>Locomotives Booster</t>
  </si>
  <si>
    <t>Locomotives Proportioning Valve</t>
  </si>
  <si>
    <t>Locomotives Rotor/Drum, Front</t>
  </si>
  <si>
    <t>Locomotives Rotor/Drum, Rear</t>
  </si>
  <si>
    <t>Locomotives Shoes</t>
  </si>
  <si>
    <t>Locomotives Oil</t>
  </si>
  <si>
    <t>Ligula Elit Locomotives</t>
  </si>
  <si>
    <t>Aliquet Inc. Accessories</t>
  </si>
  <si>
    <t>United Motors Ltd</t>
  </si>
  <si>
    <t>Brilliant Automobiles</t>
  </si>
  <si>
    <t>Drive Cars Co.</t>
  </si>
  <si>
    <t>Evergreen Autos</t>
  </si>
  <si>
    <t>Acernet Limited</t>
  </si>
  <si>
    <t>Zipcode</t>
  </si>
  <si>
    <t>Name</t>
  </si>
  <si>
    <t>Zip</t>
  </si>
  <si>
    <t>800 Occidental Ave S</t>
  </si>
  <si>
    <t xml:space="preserve"> Seattle</t>
  </si>
  <si>
    <t xml:space="preserve"> WA</t>
  </si>
  <si>
    <t>935 E Colfax Ave</t>
  </si>
  <si>
    <t xml:space="preserve"> Denver</t>
  </si>
  <si>
    <t xml:space="preserve"> CO</t>
  </si>
  <si>
    <t>PL_ID</t>
  </si>
  <si>
    <t>P_ID</t>
  </si>
  <si>
    <t>Capacity</t>
  </si>
  <si>
    <t>Instock</t>
  </si>
  <si>
    <t>Reorder_point</t>
  </si>
  <si>
    <t>DC_ID</t>
  </si>
  <si>
    <t>D_ID</t>
  </si>
  <si>
    <t>Demand</t>
  </si>
  <si>
    <t>Quantity</t>
  </si>
  <si>
    <t>X1</t>
  </si>
  <si>
    <t>y1</t>
  </si>
  <si>
    <t>X2</t>
  </si>
  <si>
    <t>y2</t>
  </si>
  <si>
    <t xml:space="preserve">Distance </t>
  </si>
  <si>
    <t>Unit Shipping Cost</t>
  </si>
  <si>
    <t>Unit Shipment Cost</t>
  </si>
  <si>
    <t xml:space="preserve"> WI</t>
  </si>
  <si>
    <t xml:space="preserve"> Green Bay</t>
  </si>
  <si>
    <t>410 Dousman St</t>
  </si>
  <si>
    <t xml:space="preserve"> FL</t>
  </si>
  <si>
    <t xml:space="preserve"> Panama City Beach</t>
  </si>
  <si>
    <t>600 Pier Park Dr</t>
  </si>
  <si>
    <t xml:space="preserve"> VA</t>
  </si>
  <si>
    <t xml:space="preserve"> Virginia Beach</t>
  </si>
  <si>
    <t>1750 Tomcat Blvd</t>
  </si>
  <si>
    <t xml:space="preserve"> PA</t>
  </si>
  <si>
    <t xml:space="preserve"> Hershey</t>
  </si>
  <si>
    <t>63 W Chocolate Ave</t>
  </si>
  <si>
    <t xml:space="preserve"> AL</t>
  </si>
  <si>
    <t xml:space="preserve"> Huntsville</t>
  </si>
  <si>
    <t>700 Monroe St SW</t>
  </si>
  <si>
    <t>Y Coord</t>
  </si>
  <si>
    <t>X Coord</t>
  </si>
  <si>
    <t>Dl_ID</t>
  </si>
  <si>
    <t>Product_ID</t>
  </si>
  <si>
    <t>9081 N Santa Monica Blvd</t>
  </si>
  <si>
    <t>West Hollywood</t>
  </si>
  <si>
    <t xml:space="preserve"> CA</t>
  </si>
  <si>
    <t>3750 The Midway</t>
  </si>
  <si>
    <t>Dallas</t>
  </si>
  <si>
    <t xml:space="preserve"> TX</t>
  </si>
  <si>
    <t>2 Memorial Dr</t>
  </si>
  <si>
    <t>Kansas City</t>
  </si>
  <si>
    <t xml:space="preserve"> MO</t>
  </si>
  <si>
    <t>420 University Blvd</t>
  </si>
  <si>
    <t>Indianapolis</t>
  </si>
  <si>
    <t xml:space="preserve"> IN</t>
  </si>
  <si>
    <t>sdasf</t>
  </si>
  <si>
    <t>gsgw</t>
  </si>
  <si>
    <t>sfs</t>
  </si>
  <si>
    <t>fsdf</t>
  </si>
  <si>
    <t>sdas</t>
  </si>
  <si>
    <t>Customer_ID</t>
  </si>
  <si>
    <t>(07) 7147 2926</t>
  </si>
  <si>
    <t>(09) 3646 3926</t>
  </si>
  <si>
    <t>(03) 0874 8392</t>
  </si>
  <si>
    <t>(07) 6821 1746</t>
  </si>
  <si>
    <t>(01) 2013 3238</t>
  </si>
  <si>
    <t>(07) 2658 3178</t>
  </si>
  <si>
    <t>(09) 7492 2929</t>
  </si>
  <si>
    <t>(05) 4685 8051</t>
  </si>
  <si>
    <t>(01) 7544 9082</t>
  </si>
  <si>
    <t>(05) 6902 3235</t>
  </si>
  <si>
    <t>(04) 6830 3850</t>
  </si>
  <si>
    <t>(03) 3231 8535</t>
  </si>
  <si>
    <t>(01) 8643 7987</t>
  </si>
  <si>
    <t>(05) 9052 3729</t>
  </si>
  <si>
    <t>(01) 0089 1789</t>
  </si>
  <si>
    <t>(05) 7159 3790</t>
  </si>
  <si>
    <t>(03) 5110 2037</t>
  </si>
  <si>
    <t>(03) 9879 7809</t>
  </si>
  <si>
    <t>(03) 5359 5438</t>
  </si>
  <si>
    <t>(01) 8214 9161</t>
  </si>
  <si>
    <t>Gravata</t>
  </si>
  <si>
    <t>(01) 4627 0558</t>
  </si>
  <si>
    <t>sfafa</t>
  </si>
  <si>
    <t>1130 TEMPE TERRACE</t>
  </si>
  <si>
    <t>ARIZONA</t>
  </si>
  <si>
    <t>TEMPE</t>
  </si>
  <si>
    <t>fsfasdS</t>
  </si>
  <si>
    <t>1130 Tempe Terrace</t>
  </si>
  <si>
    <t>Arizona</t>
  </si>
  <si>
    <t>Tempe</t>
  </si>
  <si>
    <t>Texas</t>
  </si>
  <si>
    <t>Distribution_ID</t>
  </si>
  <si>
    <t>1130 tempe terrace</t>
  </si>
  <si>
    <t>arizona</t>
  </si>
  <si>
    <t>samyak</t>
  </si>
  <si>
    <t>Route wise Cost Flow Optimization Algorithm</t>
  </si>
  <si>
    <t>UNIT COST OF SHIPPING</t>
  </si>
  <si>
    <t>Destinations</t>
  </si>
  <si>
    <t>Source</t>
  </si>
  <si>
    <t>DC 1</t>
  </si>
  <si>
    <t>DC 2</t>
  </si>
  <si>
    <t>DC 3</t>
  </si>
  <si>
    <t>DC 4</t>
  </si>
  <si>
    <t>Plant 1</t>
  </si>
  <si>
    <t>Product 1</t>
  </si>
  <si>
    <t>Product 2</t>
  </si>
  <si>
    <t>Product 3</t>
  </si>
  <si>
    <t>Plant 2</t>
  </si>
  <si>
    <t>Dealer 1</t>
  </si>
  <si>
    <t>Dealer 2</t>
  </si>
  <si>
    <t>Dealer 3</t>
  </si>
  <si>
    <t>Dealer 4</t>
  </si>
  <si>
    <t>Dealer 5</t>
  </si>
  <si>
    <t>SHIPPED QUANTITY</t>
  </si>
  <si>
    <t>Total products shipped out of Plant 1</t>
  </si>
  <si>
    <t>Total products shipped out of Plant 2</t>
  </si>
  <si>
    <t>Demands</t>
  </si>
  <si>
    <t>Total cost of shipping</t>
  </si>
  <si>
    <t>ewrwe</t>
  </si>
  <si>
    <t>1234 glendale</t>
  </si>
  <si>
    <t>X-Co-ordinate</t>
  </si>
  <si>
    <t>Y Co-ordinate</t>
  </si>
  <si>
    <t xml:space="preserve">Adrenaline Auto </t>
  </si>
  <si>
    <t>Ferguson 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</si>
</sst>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d/m/yyyy;@"/>
  </numFmts>
  <fonts count="17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ans Serif"/>
    </font>
    <font>
      <b/>
      <sz val="10"/>
      <name val="MS Sans Serif"/>
    </font>
    <font>
      <sz val="20"/>
      <name val="MS Sans Serif"/>
    </font>
    <font>
      <b/>
      <i/>
      <sz val="8"/>
      <name val="MS Sans Serif"/>
    </font>
    <font>
      <i/>
      <sz val="8"/>
      <name val="MS Sans Serif"/>
    </font>
    <font>
      <sz val="8"/>
      <name val="MS Sans Serif"/>
    </font>
    <font>
      <b/>
      <i/>
      <sz val="10"/>
      <name val="MS Sans Serif"/>
    </font>
    <font>
      <b/>
      <sz val="8"/>
      <name val="MS Sans Serif"/>
    </font>
    <font>
      <sz val="14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17"/>
      </top>
      <bottom/>
      <diagonal/>
    </border>
    <border>
      <left/>
      <right style="medium">
        <color indexed="18"/>
      </right>
      <top style="medium">
        <color indexed="18"/>
      </top>
      <bottom/>
      <diagonal/>
    </border>
    <border>
      <left/>
      <right style="medium">
        <color indexed="18"/>
      </right>
      <top/>
      <bottom/>
      <diagonal/>
    </border>
    <border>
      <left/>
      <right style="medium">
        <color indexed="18"/>
      </right>
      <top/>
      <bottom style="medium">
        <color indexed="18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64"/>
      </right>
      <top/>
      <bottom style="medium">
        <color indexed="17"/>
      </bottom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/>
      <right style="medium">
        <color indexed="64"/>
      </right>
      <top style="medium">
        <color indexed="10"/>
      </top>
      <bottom/>
      <diagonal/>
    </border>
    <border>
      <left style="medium">
        <color indexed="10"/>
      </left>
      <right/>
      <top/>
      <bottom/>
      <diagonal/>
    </border>
    <border>
      <left style="medium">
        <color indexed="1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12"/>
      </top>
      <bottom/>
      <diagonal/>
    </border>
    <border>
      <left/>
      <right style="medium">
        <color indexed="64"/>
      </right>
      <top/>
      <bottom style="medium">
        <color indexed="12"/>
      </bottom>
      <diagonal/>
    </border>
    <border>
      <left style="thick">
        <color indexed="21"/>
      </left>
      <right style="thick">
        <color indexed="21"/>
      </right>
      <top style="thick">
        <color indexed="2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203">
    <xf numFmtId="0" fontId="0" fillId="0" borderId="0" xfId="0"/>
    <xf numFmtId="0" fontId="0" fillId="0" borderId="0" xfId="0" quotePrefix="1"/>
    <xf numFmtId="0" fontId="1" fillId="0" borderId="0" xfId="0" applyFont="1"/>
    <xf numFmtId="14" fontId="0" fillId="0" borderId="0" xfId="0" applyNumberFormat="1"/>
    <xf numFmtId="0" fontId="0" fillId="0" borderId="0" xfId="0" applyProtection="1">
      <protection locked="0"/>
    </xf>
    <xf numFmtId="44" fontId="0" fillId="0" borderId="0" xfId="1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right"/>
    </xf>
    <xf numFmtId="0" fontId="0" fillId="0" borderId="4" xfId="0" applyBorder="1" applyAlignment="1">
      <alignment horizontal="center"/>
    </xf>
    <xf numFmtId="0" fontId="0" fillId="2" borderId="7" xfId="0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1" fillId="0" borderId="8" xfId="0" applyFont="1" applyBorder="1"/>
    <xf numFmtId="164" fontId="1" fillId="2" borderId="7" xfId="0" applyNumberFormat="1" applyFont="1" applyFill="1" applyBorder="1" applyAlignment="1">
      <alignment horizontal="left"/>
    </xf>
    <xf numFmtId="164" fontId="1" fillId="2" borderId="9" xfId="0" applyNumberFormat="1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4" fillId="2" borderId="0" xfId="0" applyFont="1" applyFill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0" fillId="0" borderId="5" xfId="0" applyNumberFormat="1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4" xfId="0" applyNumberFormat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164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0" fillId="0" borderId="0" xfId="1" applyNumberFormat="1" applyFont="1" applyAlignment="1" applyProtection="1">
      <alignment horizontal="center"/>
      <protection locked="0"/>
    </xf>
    <xf numFmtId="44" fontId="0" fillId="0" borderId="0" xfId="1" applyFo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8" fontId="0" fillId="0" borderId="0" xfId="1" applyNumberFormat="1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0" fontId="0" fillId="0" borderId="0" xfId="0" applyProtection="1"/>
    <xf numFmtId="0" fontId="0" fillId="0" borderId="0" xfId="0" applyFont="1" applyProtection="1">
      <protection locked="0"/>
    </xf>
    <xf numFmtId="0" fontId="0" fillId="0" borderId="11" xfId="0" applyBorder="1" applyAlignment="1">
      <alignment horizontal="center"/>
    </xf>
    <xf numFmtId="164" fontId="1" fillId="4" borderId="0" xfId="0" applyNumberFormat="1" applyFont="1" applyFill="1" applyAlignment="1">
      <alignment horizontal="right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1" fillId="4" borderId="0" xfId="0" applyNumberFormat="1" applyFont="1" applyFill="1" applyAlignment="1">
      <alignment horizontal="center"/>
    </xf>
    <xf numFmtId="44" fontId="1" fillId="4" borderId="0" xfId="1" applyFont="1" applyFill="1"/>
    <xf numFmtId="0" fontId="1" fillId="4" borderId="0" xfId="0" applyFont="1" applyFill="1" applyAlignment="1">
      <alignment horizontal="left"/>
    </xf>
    <xf numFmtId="0" fontId="0" fillId="0" borderId="0" xfId="0" applyFont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164" fontId="5" fillId="4" borderId="7" xfId="0" applyNumberFormat="1" applyFont="1" applyFill="1" applyBorder="1" applyAlignment="1">
      <alignment horizontal="left"/>
    </xf>
    <xf numFmtId="0" fontId="5" fillId="4" borderId="9" xfId="0" applyFont="1" applyFill="1" applyBorder="1"/>
    <xf numFmtId="44" fontId="5" fillId="4" borderId="10" xfId="1" applyFont="1" applyFill="1" applyBorder="1"/>
    <xf numFmtId="164" fontId="0" fillId="0" borderId="0" xfId="0" applyNumberFormat="1" applyFont="1" applyAlignment="1">
      <alignment horizontal="right"/>
    </xf>
    <xf numFmtId="164" fontId="5" fillId="4" borderId="3" xfId="0" applyNumberFormat="1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left"/>
    </xf>
    <xf numFmtId="164" fontId="5" fillId="4" borderId="2" xfId="0" applyNumberFormat="1" applyFont="1" applyFill="1" applyBorder="1" applyAlignment="1">
      <alignment horizontal="center"/>
    </xf>
    <xf numFmtId="0" fontId="0" fillId="0" borderId="0" xfId="0" applyAlignment="1"/>
    <xf numFmtId="0" fontId="1" fillId="4" borderId="0" xfId="0" applyFont="1" applyFill="1" applyAlignment="1"/>
    <xf numFmtId="0" fontId="0" fillId="0" borderId="0" xfId="0" applyAlignment="1" applyProtection="1">
      <protection locked="0"/>
    </xf>
    <xf numFmtId="0" fontId="5" fillId="4" borderId="0" xfId="0" applyFont="1" applyFill="1" applyAlignment="1">
      <alignment horizontal="center"/>
    </xf>
    <xf numFmtId="44" fontId="5" fillId="4" borderId="0" xfId="1" applyFont="1" applyFill="1"/>
    <xf numFmtId="0" fontId="4" fillId="5" borderId="0" xfId="0" applyFont="1" applyFill="1"/>
    <xf numFmtId="44" fontId="7" fillId="5" borderId="0" xfId="0" applyNumberFormat="1" applyFont="1" applyFill="1"/>
    <xf numFmtId="1" fontId="5" fillId="4" borderId="0" xfId="0" applyNumberFormat="1" applyFont="1" applyFill="1"/>
    <xf numFmtId="2" fontId="5" fillId="4" borderId="0" xfId="0" applyNumberFormat="1" applyFont="1" applyFill="1"/>
    <xf numFmtId="0" fontId="0" fillId="0" borderId="0" xfId="0" applyAlignment="1">
      <alignment horizontal="center" vertical="center"/>
    </xf>
    <xf numFmtId="1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1" applyNumberFormat="1" applyFont="1" applyProtection="1">
      <protection locked="0"/>
    </xf>
    <xf numFmtId="1" fontId="5" fillId="0" borderId="0" xfId="0" applyNumberFormat="1" applyFont="1" applyFill="1" applyBorder="1" applyAlignment="1"/>
    <xf numFmtId="0" fontId="9" fillId="0" borderId="0" xfId="2" quotePrefix="1" applyFont="1" applyAlignment="1">
      <alignment horizontal="left"/>
    </xf>
    <xf numFmtId="0" fontId="10" fillId="0" borderId="0" xfId="2" applyFont="1" applyAlignment="1">
      <alignment vertical="center"/>
    </xf>
    <xf numFmtId="0" fontId="8" fillId="0" borderId="0" xfId="2"/>
    <xf numFmtId="0" fontId="11" fillId="0" borderId="12" xfId="2" quotePrefix="1" applyFont="1" applyBorder="1" applyAlignment="1">
      <alignment horizontal="left"/>
    </xf>
    <xf numFmtId="0" fontId="11" fillId="0" borderId="13" xfId="2" quotePrefix="1" applyFont="1" applyBorder="1" applyAlignment="1">
      <alignment horizontal="left"/>
    </xf>
    <xf numFmtId="0" fontId="8" fillId="0" borderId="13" xfId="2" applyBorder="1"/>
    <xf numFmtId="0" fontId="8" fillId="0" borderId="13" xfId="2" quotePrefix="1" applyBorder="1"/>
    <xf numFmtId="0" fontId="8" fillId="0" borderId="14" xfId="2" applyBorder="1"/>
    <xf numFmtId="0" fontId="11" fillId="0" borderId="15" xfId="2" quotePrefix="1" applyFont="1" applyBorder="1" applyAlignment="1">
      <alignment horizontal="left"/>
    </xf>
    <xf numFmtId="0" fontId="11" fillId="0" borderId="0" xfId="2" quotePrefix="1" applyFont="1" applyBorder="1" applyAlignment="1">
      <alignment horizontal="left"/>
    </xf>
    <xf numFmtId="0" fontId="12" fillId="0" borderId="0" xfId="2" applyFont="1" applyBorder="1" applyAlignment="1">
      <alignment horizontal="centerContinuous"/>
    </xf>
    <xf numFmtId="0" fontId="8" fillId="0" borderId="0" xfId="2" applyBorder="1" applyAlignment="1">
      <alignment horizontal="centerContinuous"/>
    </xf>
    <xf numFmtId="0" fontId="8" fillId="0" borderId="0" xfId="2" applyBorder="1"/>
    <xf numFmtId="0" fontId="8" fillId="0" borderId="16" xfId="2" applyBorder="1"/>
    <xf numFmtId="0" fontId="12" fillId="0" borderId="15" xfId="2" applyFont="1" applyBorder="1"/>
    <xf numFmtId="0" fontId="8" fillId="6" borderId="17" xfId="2" quotePrefix="1" applyFont="1" applyFill="1" applyBorder="1" applyAlignment="1">
      <alignment horizontal="center"/>
    </xf>
    <xf numFmtId="0" fontId="8" fillId="7" borderId="18" xfId="2" applyFont="1" applyFill="1" applyBorder="1" applyAlignment="1">
      <alignment horizontal="center" vertical="center"/>
    </xf>
    <xf numFmtId="0" fontId="8" fillId="0" borderId="18" xfId="2" applyFont="1" applyBorder="1" applyAlignment="1">
      <alignment horizontal="center" vertical="center"/>
    </xf>
    <xf numFmtId="7" fontId="0" fillId="0" borderId="18" xfId="0" applyNumberFormat="1" applyBorder="1" applyAlignment="1">
      <alignment horizontal="center"/>
    </xf>
    <xf numFmtId="0" fontId="8" fillId="7" borderId="19" xfId="2" applyFont="1" applyFill="1" applyBorder="1" applyAlignment="1">
      <alignment horizontal="center" vertical="center"/>
    </xf>
    <xf numFmtId="0" fontId="8" fillId="0" borderId="19" xfId="2" applyFont="1" applyBorder="1" applyAlignment="1">
      <alignment horizontal="center" vertical="center"/>
    </xf>
    <xf numFmtId="7" fontId="0" fillId="0" borderId="19" xfId="0" applyNumberFormat="1" applyBorder="1" applyAlignment="1">
      <alignment horizontal="center"/>
    </xf>
    <xf numFmtId="0" fontId="8" fillId="7" borderId="20" xfId="2" applyFont="1" applyFill="1" applyBorder="1" applyAlignment="1">
      <alignment horizontal="center" vertical="center"/>
    </xf>
    <xf numFmtId="0" fontId="8" fillId="0" borderId="20" xfId="2" applyFont="1" applyBorder="1" applyAlignment="1">
      <alignment horizontal="center" vertical="center"/>
    </xf>
    <xf numFmtId="7" fontId="0" fillId="0" borderId="20" xfId="0" applyNumberFormat="1" applyBorder="1" applyAlignment="1">
      <alignment horizontal="center"/>
    </xf>
    <xf numFmtId="0" fontId="8" fillId="0" borderId="15" xfId="2" applyFont="1" applyBorder="1" applyAlignment="1">
      <alignment horizontal="center" vertical="center"/>
    </xf>
    <xf numFmtId="0" fontId="8" fillId="0" borderId="21" xfId="2" applyFont="1" applyBorder="1" applyAlignment="1">
      <alignment horizontal="center" vertical="center"/>
    </xf>
    <xf numFmtId="0" fontId="8" fillId="0" borderId="0" xfId="2" applyFont="1" applyBorder="1" applyAlignment="1">
      <alignment horizontal="center" vertical="center"/>
    </xf>
    <xf numFmtId="0" fontId="8" fillId="8" borderId="17" xfId="2" applyFont="1" applyFill="1" applyBorder="1" applyAlignment="1">
      <alignment horizontal="center"/>
    </xf>
    <xf numFmtId="0" fontId="8" fillId="8" borderId="22" xfId="2" applyFont="1" applyFill="1" applyBorder="1" applyAlignment="1">
      <alignment horizontal="center"/>
    </xf>
    <xf numFmtId="0" fontId="13" fillId="0" borderId="16" xfId="2" applyFont="1" applyBorder="1" applyAlignment="1">
      <alignment horizontal="right"/>
    </xf>
    <xf numFmtId="0" fontId="8" fillId="6" borderId="18" xfId="2" applyFont="1" applyFill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7" fontId="0" fillId="0" borderId="14" xfId="0" applyNumberFormat="1" applyBorder="1" applyAlignment="1">
      <alignment horizontal="center"/>
    </xf>
    <xf numFmtId="7" fontId="8" fillId="0" borderId="16" xfId="2" applyNumberFormat="1" applyBorder="1"/>
    <xf numFmtId="0" fontId="8" fillId="6" borderId="19" xfId="2" applyFont="1" applyFill="1" applyBorder="1" applyAlignment="1">
      <alignment horizontal="center" vertical="center"/>
    </xf>
    <xf numFmtId="7" fontId="0" fillId="0" borderId="16" xfId="0" applyNumberFormat="1" applyBorder="1" applyAlignment="1">
      <alignment horizontal="center"/>
    </xf>
    <xf numFmtId="0" fontId="8" fillId="6" borderId="20" xfId="2" applyFont="1" applyFill="1" applyBorder="1" applyAlignment="1">
      <alignment horizontal="center" vertical="center"/>
    </xf>
    <xf numFmtId="7" fontId="0" fillId="0" borderId="23" xfId="0" applyNumberFormat="1" applyBorder="1" applyAlignment="1">
      <alignment horizontal="center"/>
    </xf>
    <xf numFmtId="7" fontId="8" fillId="0" borderId="23" xfId="2" applyNumberFormat="1" applyBorder="1"/>
    <xf numFmtId="0" fontId="13" fillId="0" borderId="0" xfId="2" applyFont="1" applyBorder="1"/>
    <xf numFmtId="7" fontId="8" fillId="0" borderId="0" xfId="2" applyNumberFormat="1" applyBorder="1" applyAlignment="1">
      <alignment horizontal="center"/>
    </xf>
    <xf numFmtId="7" fontId="8" fillId="0" borderId="0" xfId="2" applyNumberFormat="1"/>
    <xf numFmtId="0" fontId="11" fillId="0" borderId="12" xfId="2" applyFont="1" applyBorder="1"/>
    <xf numFmtId="0" fontId="11" fillId="0" borderId="13" xfId="2" applyFont="1" applyBorder="1"/>
    <xf numFmtId="0" fontId="12" fillId="0" borderId="13" xfId="2" applyFont="1" applyBorder="1" applyAlignment="1">
      <alignment horizontal="center" vertical="center"/>
    </xf>
    <xf numFmtId="0" fontId="8" fillId="6" borderId="18" xfId="2" quotePrefix="1" applyFont="1" applyFill="1" applyBorder="1" applyAlignment="1">
      <alignment horizontal="center"/>
    </xf>
    <xf numFmtId="0" fontId="8" fillId="0" borderId="0" xfId="2" quotePrefix="1" applyFont="1" applyBorder="1" applyAlignment="1">
      <alignment horizontal="center"/>
    </xf>
    <xf numFmtId="0" fontId="8" fillId="7" borderId="18" xfId="2" applyFont="1" applyFill="1" applyBorder="1"/>
    <xf numFmtId="0" fontId="8" fillId="0" borderId="18" xfId="2" applyFont="1" applyBorder="1"/>
    <xf numFmtId="3" fontId="8" fillId="0" borderId="24" xfId="2" applyNumberFormat="1" applyBorder="1" applyAlignment="1">
      <alignment horizontal="center"/>
    </xf>
    <xf numFmtId="3" fontId="8" fillId="0" borderId="25" xfId="2" applyNumberFormat="1" applyBorder="1" applyAlignment="1">
      <alignment horizontal="center"/>
    </xf>
    <xf numFmtId="0" fontId="8" fillId="7" borderId="19" xfId="2" applyFont="1" applyFill="1" applyBorder="1"/>
    <xf numFmtId="0" fontId="8" fillId="0" borderId="19" xfId="2" applyFont="1" applyBorder="1"/>
    <xf numFmtId="3" fontId="8" fillId="0" borderId="19" xfId="2" applyNumberFormat="1" applyBorder="1" applyAlignment="1">
      <alignment horizontal="center"/>
    </xf>
    <xf numFmtId="3" fontId="8" fillId="0" borderId="26" xfId="2" applyNumberFormat="1" applyBorder="1" applyAlignment="1">
      <alignment horizontal="center"/>
    </xf>
    <xf numFmtId="0" fontId="8" fillId="7" borderId="20" xfId="2" applyFont="1" applyFill="1" applyBorder="1"/>
    <xf numFmtId="0" fontId="8" fillId="0" borderId="20" xfId="2" applyFont="1" applyBorder="1"/>
    <xf numFmtId="3" fontId="8" fillId="0" borderId="20" xfId="2" applyNumberFormat="1" applyBorder="1" applyAlignment="1">
      <alignment horizontal="center"/>
    </xf>
    <xf numFmtId="3" fontId="8" fillId="0" borderId="27" xfId="2" applyNumberFormat="1" applyBorder="1" applyAlignment="1">
      <alignment horizontal="center"/>
    </xf>
    <xf numFmtId="0" fontId="8" fillId="0" borderId="18" xfId="2" quotePrefix="1" applyFont="1" applyBorder="1" applyAlignment="1">
      <alignment horizontal="left"/>
    </xf>
    <xf numFmtId="0" fontId="8" fillId="0" borderId="12" xfId="2" applyFont="1" applyBorder="1"/>
    <xf numFmtId="3" fontId="8" fillId="0" borderId="13" xfId="2" applyNumberFormat="1" applyBorder="1" applyAlignment="1">
      <alignment horizontal="center"/>
    </xf>
    <xf numFmtId="3" fontId="8" fillId="0" borderId="14" xfId="2" applyNumberFormat="1" applyBorder="1" applyAlignment="1">
      <alignment horizontal="center"/>
    </xf>
    <xf numFmtId="3" fontId="8" fillId="0" borderId="0" xfId="2" applyNumberFormat="1" applyBorder="1" applyAlignment="1">
      <alignment horizontal="center"/>
    </xf>
    <xf numFmtId="1" fontId="8" fillId="0" borderId="16" xfId="2" applyNumberFormat="1" applyBorder="1"/>
    <xf numFmtId="0" fontId="8" fillId="0" borderId="19" xfId="2" quotePrefix="1" applyFont="1" applyBorder="1" applyAlignment="1">
      <alignment horizontal="left"/>
    </xf>
    <xf numFmtId="0" fontId="8" fillId="0" borderId="15" xfId="2" applyFont="1" applyBorder="1"/>
    <xf numFmtId="3" fontId="8" fillId="0" borderId="16" xfId="2" applyNumberFormat="1" applyBorder="1" applyAlignment="1">
      <alignment horizontal="center"/>
    </xf>
    <xf numFmtId="3" fontId="8" fillId="0" borderId="28" xfId="2" applyNumberFormat="1" applyBorder="1" applyAlignment="1">
      <alignment horizontal="center"/>
    </xf>
    <xf numFmtId="3" fontId="8" fillId="0" borderId="29" xfId="2" applyNumberFormat="1" applyBorder="1" applyAlignment="1">
      <alignment horizontal="center"/>
    </xf>
    <xf numFmtId="3" fontId="8" fillId="0" borderId="30" xfId="2" applyNumberFormat="1" applyBorder="1" applyAlignment="1">
      <alignment horizontal="center"/>
    </xf>
    <xf numFmtId="3" fontId="8" fillId="0" borderId="31" xfId="2" applyNumberFormat="1" applyBorder="1" applyAlignment="1">
      <alignment horizontal="center"/>
    </xf>
    <xf numFmtId="3" fontId="8" fillId="0" borderId="32" xfId="2" applyNumberFormat="1" applyBorder="1" applyAlignment="1">
      <alignment horizontal="center"/>
    </xf>
    <xf numFmtId="3" fontId="8" fillId="0" borderId="33" xfId="2" applyNumberFormat="1" applyBorder="1" applyAlignment="1">
      <alignment horizontal="center"/>
    </xf>
    <xf numFmtId="0" fontId="8" fillId="0" borderId="21" xfId="2" applyFont="1" applyBorder="1"/>
    <xf numFmtId="3" fontId="8" fillId="0" borderId="34" xfId="2" applyNumberFormat="1" applyBorder="1" applyAlignment="1">
      <alignment horizontal="center"/>
    </xf>
    <xf numFmtId="3" fontId="8" fillId="0" borderId="35" xfId="2" applyNumberFormat="1" applyBorder="1" applyAlignment="1">
      <alignment horizontal="center"/>
    </xf>
    <xf numFmtId="3" fontId="8" fillId="0" borderId="23" xfId="2" applyNumberFormat="1" applyBorder="1" applyAlignment="1">
      <alignment horizontal="center"/>
    </xf>
    <xf numFmtId="0" fontId="8" fillId="0" borderId="15" xfId="2" applyBorder="1"/>
    <xf numFmtId="0" fontId="13" fillId="0" borderId="0" xfId="2" quotePrefix="1" applyFont="1" applyBorder="1" applyAlignment="1">
      <alignment horizontal="left"/>
    </xf>
    <xf numFmtId="0" fontId="8" fillId="0" borderId="0" xfId="2" applyBorder="1" applyAlignment="1">
      <alignment horizontal="center"/>
    </xf>
    <xf numFmtId="0" fontId="8" fillId="0" borderId="16" xfId="2" applyFont="1" applyBorder="1" applyAlignment="1">
      <alignment horizontal="center"/>
    </xf>
    <xf numFmtId="1" fontId="8" fillId="0" borderId="0" xfId="2" applyNumberFormat="1"/>
    <xf numFmtId="0" fontId="8" fillId="0" borderId="12" xfId="2" quotePrefix="1" applyFont="1" applyBorder="1" applyAlignment="1">
      <alignment horizontal="left"/>
    </xf>
    <xf numFmtId="0" fontId="8" fillId="0" borderId="13" xfId="2" applyFont="1" applyBorder="1"/>
    <xf numFmtId="0" fontId="13" fillId="0" borderId="13" xfId="2" quotePrefix="1" applyFont="1" applyBorder="1" applyAlignment="1">
      <alignment horizontal="left"/>
    </xf>
    <xf numFmtId="0" fontId="13" fillId="0" borderId="13" xfId="2" applyFont="1" applyBorder="1"/>
    <xf numFmtId="0" fontId="8" fillId="0" borderId="0" xfId="2" applyFont="1" applyBorder="1"/>
    <xf numFmtId="0" fontId="8" fillId="0" borderId="35" xfId="2" applyFont="1" applyBorder="1"/>
    <xf numFmtId="0" fontId="13" fillId="0" borderId="35" xfId="2" quotePrefix="1" applyFont="1" applyBorder="1" applyAlignment="1">
      <alignment horizontal="left"/>
    </xf>
    <xf numFmtId="0" fontId="13" fillId="0" borderId="35" xfId="2" applyFont="1" applyBorder="1"/>
    <xf numFmtId="0" fontId="8" fillId="0" borderId="15" xfId="2" quotePrefix="1" applyFont="1" applyBorder="1" applyAlignment="1">
      <alignment horizontal="left"/>
    </xf>
    <xf numFmtId="0" fontId="13" fillId="0" borderId="21" xfId="2" quotePrefix="1" applyFont="1" applyBorder="1" applyAlignment="1">
      <alignment horizontal="left"/>
    </xf>
    <xf numFmtId="0" fontId="8" fillId="0" borderId="35" xfId="2" applyBorder="1"/>
    <xf numFmtId="0" fontId="8" fillId="8" borderId="18" xfId="2" applyFont="1" applyFill="1" applyBorder="1" applyAlignment="1">
      <alignment horizontal="center"/>
    </xf>
    <xf numFmtId="0" fontId="8" fillId="6" borderId="18" xfId="2" applyFont="1" applyFill="1" applyBorder="1" applyAlignment="1">
      <alignment horizontal="center"/>
    </xf>
    <xf numFmtId="3" fontId="8" fillId="0" borderId="18" xfId="2" applyNumberFormat="1" applyBorder="1" applyAlignment="1">
      <alignment horizontal="center"/>
    </xf>
    <xf numFmtId="3" fontId="8" fillId="0" borderId="36" xfId="2" applyNumberFormat="1" applyBorder="1" applyAlignment="1">
      <alignment horizontal="center"/>
    </xf>
    <xf numFmtId="3" fontId="0" fillId="0" borderId="18" xfId="0" applyNumberFormat="1" applyBorder="1"/>
    <xf numFmtId="0" fontId="8" fillId="6" borderId="19" xfId="2" applyFont="1" applyFill="1" applyBorder="1" applyAlignment="1">
      <alignment horizontal="center"/>
    </xf>
    <xf numFmtId="3" fontId="0" fillId="0" borderId="19" xfId="0" applyNumberFormat="1" applyBorder="1"/>
    <xf numFmtId="0" fontId="8" fillId="6" borderId="20" xfId="2" applyFont="1" applyFill="1" applyBorder="1" applyAlignment="1">
      <alignment horizontal="center"/>
    </xf>
    <xf numFmtId="3" fontId="8" fillId="0" borderId="37" xfId="2" applyNumberFormat="1" applyBorder="1" applyAlignment="1">
      <alignment horizontal="center"/>
    </xf>
    <xf numFmtId="3" fontId="0" fillId="0" borderId="20" xfId="0" applyNumberFormat="1" applyBorder="1"/>
    <xf numFmtId="0" fontId="14" fillId="0" borderId="21" xfId="2" applyFont="1" applyBorder="1"/>
    <xf numFmtId="0" fontId="14" fillId="0" borderId="35" xfId="2" applyFont="1" applyBorder="1"/>
    <xf numFmtId="7" fontId="8" fillId="9" borderId="38" xfId="2" applyNumberFormat="1" applyFill="1" applyBorder="1"/>
    <xf numFmtId="0" fontId="8" fillId="0" borderId="23" xfId="2" applyBorder="1"/>
    <xf numFmtId="0" fontId="8" fillId="10" borderId="0" xfId="2" applyFill="1" applyBorder="1"/>
    <xf numFmtId="0" fontId="15" fillId="10" borderId="0" xfId="2" applyFont="1" applyFill="1" applyBorder="1"/>
    <xf numFmtId="0" fontId="13" fillId="10" borderId="0" xfId="2" applyFont="1" applyFill="1" applyBorder="1"/>
    <xf numFmtId="0" fontId="0" fillId="0" borderId="39" xfId="0" applyBorder="1"/>
    <xf numFmtId="0" fontId="5" fillId="4" borderId="7" xfId="0" applyFont="1" applyFill="1" applyBorder="1"/>
    <xf numFmtId="0" fontId="5" fillId="4" borderId="9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44" fontId="5" fillId="4" borderId="9" xfId="1" applyFont="1" applyFill="1" applyBorder="1"/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Normal 2" xfId="2"/>
  </cellStyles>
  <dxfs count="8">
    <dxf>
      <fill>
        <gradientFill degree="180">
          <stop position="0">
            <color theme="0"/>
          </stop>
          <stop position="1">
            <color theme="6"/>
          </stop>
        </gradientFill>
      </fill>
    </dxf>
    <dxf>
      <fill>
        <gradientFill degree="18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theme="6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theme="5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E676A9"/>
          </stop>
        </gradient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66FF"/>
      <color rgb="FFE676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AcTivity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40229658792650919"/>
          <c:w val="0.9308176100628931"/>
          <c:h val="0.59770341207349076"/>
        </c:manualLayout>
      </c:layout>
      <c:pie3DChart>
        <c:varyColors val="1"/>
        <c:ser>
          <c:idx val="0"/>
          <c:order val="0"/>
          <c:tx>
            <c:strRef>
              <c:f>Interface!$E$8</c:f>
              <c:strCache>
                <c:ptCount val="1"/>
                <c:pt idx="0">
                  <c:v>Stock Acuity</c:v>
                </c:pt>
              </c:strCache>
            </c:strRef>
          </c:tx>
          <c:dPt>
            <c:idx val="0"/>
            <c:bubble3D val="0"/>
            <c:explosion val="15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FF0-4EAF-9D04-0C7F6D76B95D}"/>
              </c:ext>
            </c:extLst>
          </c:dPt>
          <c:dPt>
            <c:idx val="1"/>
            <c:bubble3D val="0"/>
            <c:explosion val="21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AFF0-4EAF-9D04-0C7F6D76B95D}"/>
              </c:ext>
            </c:extLst>
          </c:dPt>
          <c:dPt>
            <c:idx val="2"/>
            <c:bubble3D val="0"/>
            <c:explosion val="7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FF0-4EAF-9D04-0C7F6D76B95D}"/>
              </c:ext>
            </c:extLst>
          </c:dPt>
          <c:dLbls>
            <c:dLbl>
              <c:idx val="0"/>
              <c:layout>
                <c:manualLayout>
                  <c:x val="-3.4168564920273349E-2"/>
                  <c:y val="2.11864406779661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F0-4EAF-9D04-0C7F6D76B95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AFF0-4EAF-9D04-0C7F6D76B95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AFF0-4EAF-9D04-0C7F6D76B95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Interface!$F$7:$H$7</c:f>
              <c:strCache>
                <c:ptCount val="3"/>
                <c:pt idx="0">
                  <c:v>Out of Stock</c:v>
                </c:pt>
                <c:pt idx="1">
                  <c:v>Reorder Now</c:v>
                </c:pt>
                <c:pt idx="2">
                  <c:v>Fine</c:v>
                </c:pt>
              </c:strCache>
            </c:strRef>
          </c:cat>
          <c:val>
            <c:numRef>
              <c:f>Interface!$F$8:$H$8</c:f>
              <c:numCache>
                <c:formatCode>General</c:formatCode>
                <c:ptCount val="3"/>
                <c:pt idx="0">
                  <c:v>2</c:v>
                </c:pt>
                <c:pt idx="1">
                  <c:v>9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0-4EAF-9D04-0C7F6D76B95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Totals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[0]!ChartDate</c:f>
              <c:numCache>
                <c:formatCode>d/m/yyyy;@</c:formatCode>
                <c:ptCount val="6"/>
                <c:pt idx="0">
                  <c:v>42541</c:v>
                </c:pt>
                <c:pt idx="1">
                  <c:v>42542</c:v>
                </c:pt>
                <c:pt idx="2">
                  <c:v>42556</c:v>
                </c:pt>
                <c:pt idx="3">
                  <c:v>42557</c:v>
                </c:pt>
                <c:pt idx="4">
                  <c:v>42558</c:v>
                </c:pt>
                <c:pt idx="5">
                  <c:v>42559</c:v>
                </c:pt>
              </c:numCache>
            </c:numRef>
          </c:cat>
          <c:val>
            <c:numRef>
              <c:f>[0]!ChartTotal</c:f>
              <c:numCache>
                <c:formatCode>_("$"* #,##0.00_);_("$"* \(#,##0.00\);_("$"* "-"??_);_(@_)</c:formatCode>
                <c:ptCount val="6"/>
                <c:pt idx="0">
                  <c:v>6848</c:v>
                </c:pt>
                <c:pt idx="1">
                  <c:v>7020</c:v>
                </c:pt>
                <c:pt idx="2">
                  <c:v>9638</c:v>
                </c:pt>
                <c:pt idx="3">
                  <c:v>9840</c:v>
                </c:pt>
                <c:pt idx="4">
                  <c:v>10044</c:v>
                </c:pt>
                <c:pt idx="5">
                  <c:v>10250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C-4FDF-8A30-0C04479F0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3713440"/>
        <c:axId val="533709504"/>
      </c:barChart>
      <c:dateAx>
        <c:axId val="533713440"/>
        <c:scaling>
          <c:orientation val="minMax"/>
        </c:scaling>
        <c:delete val="0"/>
        <c:axPos val="b"/>
        <c:numFmt formatCode="d/m/yyyy;@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09504"/>
        <c:crosses val="autoZero"/>
        <c:auto val="1"/>
        <c:lblOffset val="100"/>
        <c:baseTimeUnit val="days"/>
      </c:dateAx>
      <c:valAx>
        <c:axId val="53370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1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21</xdr:row>
      <xdr:rowOff>19050</xdr:rowOff>
    </xdr:from>
    <xdr:to>
      <xdr:col>12</xdr:col>
      <xdr:colOff>1552575</xdr:colOff>
      <xdr:row>22</xdr:row>
      <xdr:rowOff>180975</xdr:rowOff>
    </xdr:to>
    <xdr:sp macro="[0]!AdvFilter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991725" y="1543050"/>
          <a:ext cx="2514600" cy="3524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solidFill>
                <a:sysClr val="windowText" lastClr="000000"/>
              </a:solidFill>
            </a:rPr>
            <a:t>All</a:t>
          </a:r>
          <a:r>
            <a:rPr lang="en-AU" sz="1400" baseline="0">
              <a:solidFill>
                <a:sysClr val="windowText" lastClr="000000"/>
              </a:solidFill>
            </a:rPr>
            <a:t> sales between dates</a:t>
          </a:r>
          <a:endParaRPr lang="en-AU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21</xdr:row>
      <xdr:rowOff>9525</xdr:rowOff>
    </xdr:from>
    <xdr:to>
      <xdr:col>3</xdr:col>
      <xdr:colOff>0</xdr:colOff>
      <xdr:row>22</xdr:row>
      <xdr:rowOff>171450</xdr:rowOff>
    </xdr:to>
    <xdr:sp macro="[0]!AdvStock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85750" y="4814358"/>
          <a:ext cx="2487083" cy="36300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solidFill>
                <a:sysClr val="windowText" lastClr="000000"/>
              </a:solidFill>
            </a:rPr>
            <a:t>Check Stock Information</a:t>
          </a:r>
        </a:p>
      </xdr:txBody>
    </xdr:sp>
    <xdr:clientData/>
  </xdr:twoCellAnchor>
  <xdr:twoCellAnchor>
    <xdr:from>
      <xdr:col>5</xdr:col>
      <xdr:colOff>1190625</xdr:colOff>
      <xdr:row>21</xdr:row>
      <xdr:rowOff>19050</xdr:rowOff>
    </xdr:from>
    <xdr:to>
      <xdr:col>9</xdr:col>
      <xdr:colOff>22860</xdr:colOff>
      <xdr:row>22</xdr:row>
      <xdr:rowOff>171450</xdr:rowOff>
    </xdr:to>
    <xdr:sp macro="[0]!AdvReorder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25465" y="4758690"/>
          <a:ext cx="3175635" cy="35052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solidFill>
                <a:schemeClr val="tx1"/>
              </a:solidFill>
            </a:rPr>
            <a:t>Check for Reordering</a:t>
          </a:r>
        </a:p>
      </xdr:txBody>
    </xdr:sp>
    <xdr:clientData/>
  </xdr:twoCellAnchor>
  <xdr:twoCellAnchor>
    <xdr:from>
      <xdr:col>3</xdr:col>
      <xdr:colOff>114300</xdr:colOff>
      <xdr:row>21</xdr:row>
      <xdr:rowOff>9525</xdr:rowOff>
    </xdr:from>
    <xdr:to>
      <xdr:col>5</xdr:col>
      <xdr:colOff>1085850</xdr:colOff>
      <xdr:row>22</xdr:row>
      <xdr:rowOff>171450</xdr:rowOff>
    </xdr:to>
    <xdr:sp macro="[0]!ClearData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33750" y="4000500"/>
          <a:ext cx="2524125" cy="3524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solidFill>
                <a:sysClr val="windowText" lastClr="000000"/>
              </a:solidFill>
            </a:rPr>
            <a:t>Clear </a:t>
          </a:r>
          <a:r>
            <a:rPr lang="en-AU" sz="1400" baseline="0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oneCellAnchor>
    <xdr:from>
      <xdr:col>3</xdr:col>
      <xdr:colOff>698883</xdr:colOff>
      <xdr:row>0</xdr:row>
      <xdr:rowOff>180261</xdr:rowOff>
    </xdr:from>
    <xdr:ext cx="6582450" cy="856905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471716" y="180261"/>
          <a:ext cx="6582450" cy="85690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twoCellAnchor>
    <xdr:from>
      <xdr:col>4</xdr:col>
      <xdr:colOff>777240</xdr:colOff>
      <xdr:row>8</xdr:row>
      <xdr:rowOff>129540</xdr:rowOff>
    </xdr:from>
    <xdr:to>
      <xdr:col>7</xdr:col>
      <xdr:colOff>868680</xdr:colOff>
      <xdr:row>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152400</xdr:colOff>
      <xdr:row>1</xdr:row>
      <xdr:rowOff>194733</xdr:rowOff>
    </xdr:from>
    <xdr:to>
      <xdr:col>14</xdr:col>
      <xdr:colOff>220133</xdr:colOff>
      <xdr:row>16</xdr:row>
      <xdr:rowOff>38100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243417</xdr:colOff>
      <xdr:row>0</xdr:row>
      <xdr:rowOff>190500</xdr:rowOff>
    </xdr:from>
    <xdr:to>
      <xdr:col>2</xdr:col>
      <xdr:colOff>2184400</xdr:colOff>
      <xdr:row>10</xdr:row>
      <xdr:rowOff>41705</xdr:rowOff>
    </xdr:to>
    <xdr:pic>
      <xdr:nvPicPr>
        <xdr:cNvPr id="23" name="Picture 22" descr="Image result for supply chain management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18" r="12291"/>
        <a:stretch/>
      </xdr:blipFill>
      <xdr:spPr bwMode="auto">
        <a:xfrm>
          <a:off x="243417" y="190500"/>
          <a:ext cx="3515783" cy="2543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13</xdr:row>
          <xdr:rowOff>167640</xdr:rowOff>
        </xdr:from>
        <xdr:to>
          <xdr:col>2</xdr:col>
          <xdr:colOff>30480</xdr:colOff>
          <xdr:row>16</xdr:row>
          <xdr:rowOff>7620</xdr:rowOff>
        </xdr:to>
        <xdr:sp macro="" textlink="">
          <xdr:nvSpPr>
            <xdr:cNvPr id="1025" name="Button 1" descr="Add Det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Details`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411480</xdr:colOff>
          <xdr:row>13</xdr:row>
          <xdr:rowOff>160020</xdr:rowOff>
        </xdr:from>
        <xdr:to>
          <xdr:col>2</xdr:col>
          <xdr:colOff>1661160</xdr:colOff>
          <xdr:row>15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1981200</xdr:colOff>
          <xdr:row>13</xdr:row>
          <xdr:rowOff>167640</xdr:rowOff>
        </xdr:from>
        <xdr:to>
          <xdr:col>4</xdr:col>
          <xdr:colOff>586740</xdr:colOff>
          <xdr:row>15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Route Optimization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518160</xdr:colOff>
      <xdr:row>0</xdr:row>
      <xdr:rowOff>38100</xdr:rowOff>
    </xdr:from>
    <xdr:ext cx="6619875" cy="6953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268980" y="38100"/>
          <a:ext cx="6619875" cy="6953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oneCellAnchor>
    <xdr:from>
      <xdr:col>3</xdr:col>
      <xdr:colOff>36082</xdr:colOff>
      <xdr:row>3</xdr:row>
      <xdr:rowOff>181275</xdr:rowOff>
    </xdr:from>
    <xdr:ext cx="4314265" cy="407894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509022" y="729915"/>
          <a:ext cx="4314265" cy="4078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5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Plant</a:t>
          </a: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0</xdr:col>
      <xdr:colOff>1897380</xdr:colOff>
      <xdr:row>4</xdr:row>
      <xdr:rowOff>153073</xdr:rowOff>
    </xdr:to>
    <xdr:pic>
      <xdr:nvPicPr>
        <xdr:cNvPr id="4" name="Picture 3" descr="Image result for production facility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97380" cy="13036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1</xdr:col>
      <xdr:colOff>1109133</xdr:colOff>
      <xdr:row>3</xdr:row>
      <xdr:rowOff>201171</xdr:rowOff>
    </xdr:to>
    <xdr:pic>
      <xdr:nvPicPr>
        <xdr:cNvPr id="4" name="Picture 3" descr="Related imag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0"/>
          <a:ext cx="1490133" cy="1132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552449</xdr:colOff>
      <xdr:row>0</xdr:row>
      <xdr:rowOff>19050</xdr:rowOff>
    </xdr:from>
    <xdr:ext cx="6619875" cy="695325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495549" y="19050"/>
          <a:ext cx="6619875" cy="6953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oneCellAnchor>
    <xdr:from>
      <xdr:col>2</xdr:col>
      <xdr:colOff>1472451</xdr:colOff>
      <xdr:row>1</xdr:row>
      <xdr:rowOff>159685</xdr:rowOff>
    </xdr:from>
    <xdr:ext cx="4314265" cy="407894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15551" y="712135"/>
          <a:ext cx="4314265" cy="4078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5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Distribution Center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1322295</xdr:colOff>
      <xdr:row>0</xdr:row>
      <xdr:rowOff>33618</xdr:rowOff>
    </xdr:from>
    <xdr:ext cx="6582450" cy="8569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3471" y="33618"/>
          <a:ext cx="6582450" cy="85690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oneCellAnchor>
    <xdr:from>
      <xdr:col>4</xdr:col>
      <xdr:colOff>605116</xdr:colOff>
      <xdr:row>2</xdr:row>
      <xdr:rowOff>141196</xdr:rowOff>
    </xdr:from>
    <xdr:ext cx="4314265" cy="407894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16822" y="869578"/>
          <a:ext cx="4314265" cy="4078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5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Customer Orders</a:t>
          </a:r>
        </a:p>
      </xdr:txBody>
    </xdr:sp>
    <xdr:clientData/>
  </xdr:oneCellAnchor>
  <xdr:twoCellAnchor editAs="oneCell">
    <xdr:from>
      <xdr:col>0</xdr:col>
      <xdr:colOff>0</xdr:colOff>
      <xdr:row>0</xdr:row>
      <xdr:rowOff>268943</xdr:rowOff>
    </xdr:from>
    <xdr:to>
      <xdr:col>2</xdr:col>
      <xdr:colOff>586</xdr:colOff>
      <xdr:row>4</xdr:row>
      <xdr:rowOff>156882</xdr:rowOff>
    </xdr:to>
    <xdr:pic>
      <xdr:nvPicPr>
        <xdr:cNvPr id="6" name="Picture 5" descr="Image result for orders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943"/>
          <a:ext cx="1210821" cy="1165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33338</xdr:colOff>
      <xdr:row>0</xdr:row>
      <xdr:rowOff>38100</xdr:rowOff>
    </xdr:from>
    <xdr:ext cx="6681787" cy="76200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938463" y="38100"/>
          <a:ext cx="6681787" cy="762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oneCellAnchor>
    <xdr:from>
      <xdr:col>2</xdr:col>
      <xdr:colOff>905715</xdr:colOff>
      <xdr:row>1</xdr:row>
      <xdr:rowOff>159685</xdr:rowOff>
    </xdr:from>
    <xdr:ext cx="4314265" cy="407894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810840" y="788335"/>
          <a:ext cx="4314265" cy="4078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5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Products</a:t>
          </a:r>
        </a:p>
      </xdr:txBody>
    </xdr:sp>
    <xdr:clientData/>
  </xdr:oneCellAnchor>
  <xdr:twoCellAnchor editAs="oneCell">
    <xdr:from>
      <xdr:col>0</xdr:col>
      <xdr:colOff>0</xdr:colOff>
      <xdr:row>0</xdr:row>
      <xdr:rowOff>114300</xdr:rowOff>
    </xdr:from>
    <xdr:to>
      <xdr:col>1</xdr:col>
      <xdr:colOff>19050</xdr:colOff>
      <xdr:row>3</xdr:row>
      <xdr:rowOff>161925</xdr:rowOff>
    </xdr:to>
    <xdr:pic>
      <xdr:nvPicPr>
        <xdr:cNvPr id="6" name="Picture 5" descr="Image result for product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"/>
          <a:ext cx="14097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75080</xdr:rowOff>
    </xdr:from>
    <xdr:to>
      <xdr:col>1</xdr:col>
      <xdr:colOff>514349</xdr:colOff>
      <xdr:row>3</xdr:row>
      <xdr:rowOff>271646</xdr:rowOff>
    </xdr:to>
    <xdr:pic>
      <xdr:nvPicPr>
        <xdr:cNvPr id="3" name="Picture 2" descr="Image result for dealer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75080"/>
          <a:ext cx="1038224" cy="1099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552450</xdr:colOff>
      <xdr:row>0</xdr:row>
      <xdr:rowOff>19050</xdr:rowOff>
    </xdr:from>
    <xdr:ext cx="6619875" cy="6953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752600" y="19050"/>
          <a:ext cx="6619875" cy="6953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oneCellAnchor>
    <xdr:from>
      <xdr:col>2</xdr:col>
      <xdr:colOff>1596277</xdr:colOff>
      <xdr:row>1</xdr:row>
      <xdr:rowOff>159685</xdr:rowOff>
    </xdr:from>
    <xdr:ext cx="4314265" cy="407894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796427" y="674035"/>
          <a:ext cx="4314265" cy="4078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5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Dealer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6681787" cy="7620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590800" y="0"/>
          <a:ext cx="6681787" cy="762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Supply Chain Design</a:t>
          </a:r>
        </a:p>
      </xdr:txBody>
    </xdr:sp>
    <xdr:clientData/>
  </xdr:oneCellAnchor>
  <xdr:oneCellAnchor>
    <xdr:from>
      <xdr:col>3</xdr:col>
      <xdr:colOff>872377</xdr:colOff>
      <xdr:row>1</xdr:row>
      <xdr:rowOff>159685</xdr:rowOff>
    </xdr:from>
    <xdr:ext cx="4314265" cy="407894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463177" y="750235"/>
          <a:ext cx="4314265" cy="4078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500" b="0" i="0" cap="none" spc="50">
              <a:ln w="0"/>
              <a:solidFill>
                <a:schemeClr val="tx2">
                  <a:lumMod val="60000"/>
                  <a:lumOff val="4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Customers</a:t>
          </a:r>
        </a:p>
      </xdr:txBody>
    </xdr:sp>
    <xdr:clientData/>
  </xdr:oneCellAnchor>
  <xdr:twoCellAnchor editAs="oneCell">
    <xdr:from>
      <xdr:col>0</xdr:col>
      <xdr:colOff>112569</xdr:colOff>
      <xdr:row>0</xdr:row>
      <xdr:rowOff>31011</xdr:rowOff>
    </xdr:from>
    <xdr:to>
      <xdr:col>1</xdr:col>
      <xdr:colOff>1057275</xdr:colOff>
      <xdr:row>3</xdr:row>
      <xdr:rowOff>41910</xdr:rowOff>
    </xdr:to>
    <xdr:pic>
      <xdr:nvPicPr>
        <xdr:cNvPr id="5" name="Picture 4" descr="Image result for customers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9" y="31011"/>
          <a:ext cx="1264746" cy="971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ati/AppData/Roaming/Microsoft/Excel/Project_newidea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EE%20505/NewIdea/Project_newide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"/>
      <sheetName val="Customer"/>
      <sheetName val="Plant"/>
      <sheetName val="DC"/>
      <sheetName val="Dealer"/>
      <sheetName val="Product"/>
      <sheetName val="Manufactures"/>
      <sheetName val="Stores"/>
      <sheetName val="Requires"/>
      <sheetName val="Ships_PL_DC"/>
      <sheetName val="Ships_DC_D"/>
    </sheetNames>
    <sheetDataSet>
      <sheetData sheetId="0"/>
      <sheetData sheetId="1"/>
      <sheetData sheetId="2">
        <row r="1">
          <cell r="A1" t="str">
            <v>Pl_ID</v>
          </cell>
          <cell r="B1" t="str">
            <v>Name</v>
          </cell>
          <cell r="C1" t="str">
            <v>Address</v>
          </cell>
          <cell r="D1" t="str">
            <v>City</v>
          </cell>
          <cell r="E1" t="str">
            <v>State</v>
          </cell>
          <cell r="F1" t="str">
            <v>Zip</v>
          </cell>
          <cell r="G1" t="str">
            <v>X- Coord</v>
          </cell>
          <cell r="H1" t="str">
            <v>Y- Coord</v>
          </cell>
        </row>
        <row r="2">
          <cell r="A2">
            <v>10001</v>
          </cell>
          <cell r="B2" t="str">
            <v>Ferguson Motors</v>
          </cell>
          <cell r="C2" t="str">
            <v>800 Occidental Ave S</v>
          </cell>
          <cell r="D2" t="str">
            <v xml:space="preserve"> Seattle</v>
          </cell>
          <cell r="E2" t="str">
            <v xml:space="preserve"> WA</v>
          </cell>
          <cell r="F2">
            <v>98134</v>
          </cell>
          <cell r="G2">
            <v>47.593303900000002</v>
          </cell>
          <cell r="H2">
            <v>-122.33216539999999</v>
          </cell>
        </row>
        <row r="3">
          <cell r="A3">
            <v>10002</v>
          </cell>
          <cell r="B3" t="str">
            <v>Adrenaline Auto Co.</v>
          </cell>
          <cell r="C3" t="str">
            <v>935 E Colfax Ave</v>
          </cell>
          <cell r="D3" t="str">
            <v xml:space="preserve"> Denver</v>
          </cell>
          <cell r="E3" t="str">
            <v xml:space="preserve"> CO</v>
          </cell>
          <cell r="F3">
            <v>80218</v>
          </cell>
          <cell r="G3">
            <v>39.7403476</v>
          </cell>
          <cell r="H3">
            <v>-104.97533110000001</v>
          </cell>
        </row>
        <row r="4">
          <cell r="A4">
            <v>10003</v>
          </cell>
        </row>
      </sheetData>
      <sheetData sheetId="3">
        <row r="1">
          <cell r="A1" t="str">
            <v>DC_ID</v>
          </cell>
          <cell r="B1" t="str">
            <v>Name</v>
          </cell>
          <cell r="C1" t="str">
            <v>Address</v>
          </cell>
          <cell r="D1" t="str">
            <v>City</v>
          </cell>
          <cell r="E1" t="str">
            <v>State</v>
          </cell>
          <cell r="F1" t="str">
            <v>Zip</v>
          </cell>
          <cell r="G1" t="str">
            <v>X Coord</v>
          </cell>
          <cell r="H1" t="str">
            <v>Y Coord</v>
          </cell>
        </row>
        <row r="2">
          <cell r="A2">
            <v>20001</v>
          </cell>
          <cell r="B2" t="str">
            <v>United Motors Ltd</v>
          </cell>
          <cell r="C2" t="str">
            <v>9081 N Santa Monica Blvd</v>
          </cell>
          <cell r="D2" t="str">
            <v>West Hollywood</v>
          </cell>
          <cell r="E2" t="str">
            <v xml:space="preserve"> CA</v>
          </cell>
          <cell r="F2">
            <v>90069</v>
          </cell>
          <cell r="G2">
            <v>34.081569600000002</v>
          </cell>
          <cell r="H2">
            <v>-118.3892793</v>
          </cell>
        </row>
        <row r="3">
          <cell r="A3">
            <v>20002</v>
          </cell>
          <cell r="B3" t="str">
            <v>Brilliant Automobiles</v>
          </cell>
          <cell r="C3" t="str">
            <v>3750 The Midway</v>
          </cell>
          <cell r="D3" t="str">
            <v>Dallas</v>
          </cell>
          <cell r="E3" t="str">
            <v xml:space="preserve"> TX</v>
          </cell>
          <cell r="F3">
            <v>75215</v>
          </cell>
          <cell r="G3">
            <v>32.777856</v>
          </cell>
          <cell r="H3">
            <v>-96.760088100000004</v>
          </cell>
        </row>
        <row r="4">
          <cell r="A4">
            <v>20003</v>
          </cell>
          <cell r="B4" t="str">
            <v>Drive Cars Co.</v>
          </cell>
          <cell r="C4" t="str">
            <v>2 Memorial Dr</v>
          </cell>
          <cell r="D4" t="str">
            <v>Kansas City</v>
          </cell>
          <cell r="E4" t="str">
            <v xml:space="preserve"> MO</v>
          </cell>
          <cell r="F4">
            <v>64108</v>
          </cell>
          <cell r="G4">
            <v>39.077025300000003</v>
          </cell>
          <cell r="H4">
            <v>-94.586092199999996</v>
          </cell>
        </row>
        <row r="5">
          <cell r="A5">
            <v>20004</v>
          </cell>
          <cell r="B5" t="str">
            <v>Evergreen Autos</v>
          </cell>
          <cell r="C5" t="str">
            <v>420 University Blvd</v>
          </cell>
          <cell r="D5" t="str">
            <v>Indianapolis</v>
          </cell>
          <cell r="E5" t="str">
            <v xml:space="preserve"> IN</v>
          </cell>
          <cell r="F5">
            <v>46202</v>
          </cell>
          <cell r="G5">
            <v>39.773898099999997</v>
          </cell>
          <cell r="H5">
            <v>-86.176306199999999</v>
          </cell>
        </row>
        <row r="6">
          <cell r="A6">
            <v>20005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"/>
      <sheetName val="Customer"/>
      <sheetName val="Plant"/>
      <sheetName val="DC"/>
      <sheetName val="Dealer"/>
      <sheetName val="Product"/>
      <sheetName val="Manufactures"/>
      <sheetName val="Stores"/>
      <sheetName val="Requires"/>
      <sheetName val="Ships_PL_DC"/>
      <sheetName val="Ships_DC_D"/>
    </sheetNames>
    <sheetDataSet>
      <sheetData sheetId="0"/>
      <sheetData sheetId="1"/>
      <sheetData sheetId="2"/>
      <sheetData sheetId="3">
        <row r="1">
          <cell r="A1" t="str">
            <v>DC_ID</v>
          </cell>
          <cell r="B1" t="str">
            <v>Name</v>
          </cell>
          <cell r="C1" t="str">
            <v>Address</v>
          </cell>
          <cell r="D1" t="str">
            <v>City</v>
          </cell>
          <cell r="E1" t="str">
            <v>State</v>
          </cell>
          <cell r="F1" t="str">
            <v>Zip</v>
          </cell>
          <cell r="G1" t="str">
            <v>X Coord</v>
          </cell>
          <cell r="H1" t="str">
            <v>Y Coord</v>
          </cell>
        </row>
        <row r="2">
          <cell r="A2">
            <v>20001</v>
          </cell>
          <cell r="B2" t="str">
            <v>United Motors Ltd</v>
          </cell>
          <cell r="C2" t="str">
            <v>9081 N Santa Monica Blvd</v>
          </cell>
          <cell r="D2" t="str">
            <v>West Hollywood</v>
          </cell>
          <cell r="E2" t="str">
            <v xml:space="preserve"> CA</v>
          </cell>
          <cell r="F2">
            <v>90069</v>
          </cell>
          <cell r="G2">
            <v>34.081569600000002</v>
          </cell>
          <cell r="H2">
            <v>-118.3892793</v>
          </cell>
        </row>
        <row r="3">
          <cell r="A3">
            <v>20002</v>
          </cell>
          <cell r="B3" t="str">
            <v>Brilliant Automobiles</v>
          </cell>
          <cell r="C3" t="str">
            <v>3750 The Midway</v>
          </cell>
          <cell r="D3" t="str">
            <v>Dallas</v>
          </cell>
          <cell r="E3" t="str">
            <v xml:space="preserve"> TX</v>
          </cell>
          <cell r="F3">
            <v>75215</v>
          </cell>
          <cell r="G3">
            <v>32.777856</v>
          </cell>
          <cell r="H3">
            <v>-96.760088100000004</v>
          </cell>
        </row>
        <row r="4">
          <cell r="A4">
            <v>20003</v>
          </cell>
          <cell r="B4" t="str">
            <v>Drive Cars Co.</v>
          </cell>
          <cell r="C4" t="str">
            <v>2 Memorial Dr</v>
          </cell>
          <cell r="D4" t="str">
            <v>Kansas City</v>
          </cell>
          <cell r="E4" t="str">
            <v xml:space="preserve"> MO</v>
          </cell>
          <cell r="F4">
            <v>64108</v>
          </cell>
          <cell r="G4">
            <v>39.077025300000003</v>
          </cell>
          <cell r="H4">
            <v>-94.586092199999996</v>
          </cell>
        </row>
        <row r="5">
          <cell r="A5">
            <v>20004</v>
          </cell>
          <cell r="B5" t="str">
            <v>Evergreen Autos</v>
          </cell>
          <cell r="C5" t="str">
            <v>420 University Blvd</v>
          </cell>
          <cell r="D5" t="str">
            <v>Indianapolis</v>
          </cell>
          <cell r="E5" t="str">
            <v xml:space="preserve"> IN</v>
          </cell>
          <cell r="F5">
            <v>46202</v>
          </cell>
          <cell r="G5">
            <v>39.773898099999997</v>
          </cell>
          <cell r="H5">
            <v>-86.176306199999999</v>
          </cell>
        </row>
        <row r="6">
          <cell r="A6">
            <v>20005</v>
          </cell>
        </row>
      </sheetData>
      <sheetData sheetId="4">
        <row r="1">
          <cell r="A1" t="str">
            <v>Dl_ID</v>
          </cell>
          <cell r="B1" t="str">
            <v>Name</v>
          </cell>
          <cell r="C1" t="str">
            <v>Address</v>
          </cell>
          <cell r="D1" t="str">
            <v>City</v>
          </cell>
          <cell r="E1" t="str">
            <v>State</v>
          </cell>
          <cell r="F1" t="str">
            <v>Zip</v>
          </cell>
          <cell r="G1" t="str">
            <v>X Coord</v>
          </cell>
          <cell r="H1" t="str">
            <v>Y Coord</v>
          </cell>
        </row>
        <row r="2">
          <cell r="A2">
            <v>30001</v>
          </cell>
          <cell r="B2" t="str">
            <v>Interdum Sed Limited</v>
          </cell>
          <cell r="C2" t="str">
            <v>700 Monroe St SW</v>
          </cell>
          <cell r="D2" t="str">
            <v xml:space="preserve"> Huntsville</v>
          </cell>
          <cell r="E2" t="str">
            <v xml:space="preserve"> AL</v>
          </cell>
          <cell r="F2">
            <v>35801</v>
          </cell>
          <cell r="G2">
            <v>34.726982700000001</v>
          </cell>
          <cell r="H2">
            <v>-86.590785600000004</v>
          </cell>
        </row>
        <row r="3">
          <cell r="A3">
            <v>30002</v>
          </cell>
          <cell r="B3" t="str">
            <v>Vivamus Sit Corporation</v>
          </cell>
          <cell r="C3" t="str">
            <v>63 W Chocolate Ave</v>
          </cell>
          <cell r="D3" t="str">
            <v xml:space="preserve"> Hershey</v>
          </cell>
          <cell r="E3" t="str">
            <v xml:space="preserve"> PA</v>
          </cell>
          <cell r="F3">
            <v>17033</v>
          </cell>
          <cell r="G3">
            <v>40.285252300000003</v>
          </cell>
          <cell r="H3">
            <v>-76.652129900000006</v>
          </cell>
        </row>
        <row r="4">
          <cell r="A4">
            <v>30003</v>
          </cell>
          <cell r="B4" t="str">
            <v>Ligula Elit Locomotives</v>
          </cell>
          <cell r="C4" t="str">
            <v>1750 Tomcat Blvd</v>
          </cell>
          <cell r="D4" t="str">
            <v xml:space="preserve"> Virginia Beach</v>
          </cell>
          <cell r="E4" t="str">
            <v xml:space="preserve"> VA</v>
          </cell>
          <cell r="F4">
            <v>23460</v>
          </cell>
          <cell r="G4">
            <v>36.814034599999999</v>
          </cell>
          <cell r="H4">
            <v>-76.026842200000004</v>
          </cell>
        </row>
        <row r="5">
          <cell r="A5">
            <v>30004</v>
          </cell>
          <cell r="B5" t="str">
            <v>Aliquet Inc. Accessories</v>
          </cell>
          <cell r="C5" t="str">
            <v>600 Pier Park Dr</v>
          </cell>
          <cell r="D5" t="str">
            <v xml:space="preserve"> Panama City Beach</v>
          </cell>
          <cell r="E5" t="str">
            <v xml:space="preserve"> FL</v>
          </cell>
          <cell r="F5">
            <v>32413</v>
          </cell>
          <cell r="G5">
            <v>30.2213961</v>
          </cell>
          <cell r="H5">
            <v>-85.871700599999997</v>
          </cell>
        </row>
        <row r="6">
          <cell r="A6">
            <v>30005</v>
          </cell>
          <cell r="B6" t="str">
            <v>Dui Consulting Office</v>
          </cell>
          <cell r="C6" t="str">
            <v>410 Dousman St</v>
          </cell>
          <cell r="D6" t="str">
            <v xml:space="preserve"> Green Bay</v>
          </cell>
          <cell r="E6" t="str">
            <v xml:space="preserve"> WI</v>
          </cell>
          <cell r="F6">
            <v>54303</v>
          </cell>
          <cell r="G6">
            <v>44.519666100000002</v>
          </cell>
          <cell r="H6">
            <v>-88.020217900000006</v>
          </cell>
        </row>
        <row r="7">
          <cell r="A7">
            <v>1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620"/>
  <sheetViews>
    <sheetView showGridLines="0" tabSelected="1" zoomScale="90" zoomScaleNormal="90" workbookViewId="0">
      <selection activeCell="N21" sqref="N21"/>
    </sheetView>
  </sheetViews>
  <sheetFormatPr defaultRowHeight="14.4" x14ac:dyDescent="0.3"/>
  <cols>
    <col min="1" max="1" width="4.33203125" customWidth="1"/>
    <col min="2" max="2" width="18.6640625" customWidth="1"/>
    <col min="3" max="3" width="32.21875" customWidth="1"/>
    <col min="4" max="4" width="10.6640625" customWidth="1"/>
    <col min="5" max="5" width="12.5546875" customWidth="1"/>
    <col min="6" max="6" width="18.5546875" customWidth="1"/>
    <col min="7" max="7" width="16.33203125" customWidth="1"/>
    <col min="8" max="8" width="12.88671875" customWidth="1"/>
    <col min="9" max="9" width="15.5546875" customWidth="1"/>
    <col min="10" max="10" width="3.44140625" customWidth="1"/>
    <col min="11" max="11" width="3.109375" customWidth="1"/>
    <col min="12" max="12" width="19.88671875" style="8" customWidth="1"/>
    <col min="13" max="13" width="21" customWidth="1"/>
    <col min="14" max="14" width="24.33203125" customWidth="1"/>
    <col min="15" max="15" width="14.33203125" customWidth="1"/>
    <col min="16" max="16" width="23.44140625" customWidth="1"/>
    <col min="17" max="17" width="21.6640625" customWidth="1"/>
    <col min="27" max="27" width="11.5546875" customWidth="1"/>
    <col min="28" max="28" width="13.5546875" customWidth="1"/>
    <col min="29" max="29" width="23.109375" customWidth="1"/>
    <col min="30" max="30" width="11.6640625" customWidth="1"/>
  </cols>
  <sheetData>
    <row r="1" spans="1:29" ht="71.25" customHeight="1" x14ac:dyDescent="0.3">
      <c r="A1" s="4"/>
    </row>
    <row r="2" spans="1:29" ht="24" customHeight="1" x14ac:dyDescent="0.3"/>
    <row r="7" spans="1:29" x14ac:dyDescent="0.3">
      <c r="E7" s="11"/>
      <c r="F7" s="12" t="s">
        <v>106</v>
      </c>
      <c r="G7" s="12" t="s">
        <v>107</v>
      </c>
      <c r="H7" s="13" t="s">
        <v>108</v>
      </c>
      <c r="AA7" s="15" t="s">
        <v>11</v>
      </c>
      <c r="AB7" s="16" t="s">
        <v>11</v>
      </c>
      <c r="AC7" s="17" t="s">
        <v>16</v>
      </c>
    </row>
    <row r="8" spans="1:29" x14ac:dyDescent="0.3">
      <c r="E8" s="14" t="s">
        <v>109</v>
      </c>
      <c r="F8" s="10">
        <f ca="1">COUNTIF(Reorder,F7)</f>
        <v>2</v>
      </c>
      <c r="G8" s="10">
        <f ca="1">COUNTIF(Reorder,G7)</f>
        <v>9</v>
      </c>
      <c r="H8" s="43">
        <f ca="1">COUNTIF(Reorder,H7)</f>
        <v>9</v>
      </c>
      <c r="AA8" s="18" t="str">
        <f>"&gt;" &amp;L21</f>
        <v>&gt;42374</v>
      </c>
      <c r="AB8" s="19" t="str">
        <f>"&lt;" &amp;M21</f>
        <v>&lt;42589</v>
      </c>
      <c r="AC8" s="20" t="str">
        <f>IF(N21=0,"",N21)</f>
        <v>Jai Enterprises</v>
      </c>
    </row>
    <row r="12" spans="1:29" x14ac:dyDescent="0.3">
      <c r="O12" s="9"/>
      <c r="Q12" s="5"/>
    </row>
    <row r="13" spans="1:29" x14ac:dyDescent="0.3">
      <c r="O13" s="9"/>
      <c r="Q13" s="5"/>
    </row>
    <row r="14" spans="1:29" x14ac:dyDescent="0.3">
      <c r="O14" s="9"/>
      <c r="Q14" s="5"/>
    </row>
    <row r="15" spans="1:29" x14ac:dyDescent="0.3">
      <c r="O15" s="9"/>
      <c r="Q15" s="5"/>
    </row>
    <row r="16" spans="1:29" x14ac:dyDescent="0.3">
      <c r="O16" s="9"/>
      <c r="Q16" s="5"/>
    </row>
    <row r="17" spans="1:17" x14ac:dyDescent="0.3">
      <c r="O17" s="9"/>
      <c r="Q17" s="5"/>
    </row>
    <row r="18" spans="1:17" ht="12.75" customHeight="1" x14ac:dyDescent="0.3">
      <c r="L18" s="28" t="s">
        <v>113</v>
      </c>
      <c r="M18" s="23" t="s">
        <v>114</v>
      </c>
      <c r="O18" s="9"/>
      <c r="Q18" s="5"/>
    </row>
    <row r="19" spans="1:17" x14ac:dyDescent="0.3">
      <c r="L19" s="29"/>
      <c r="M19" s="22"/>
      <c r="O19" s="9"/>
      <c r="Q19" s="5"/>
    </row>
    <row r="20" spans="1:17" x14ac:dyDescent="0.3">
      <c r="B20" s="59" t="s">
        <v>5</v>
      </c>
      <c r="C20" s="58" t="s">
        <v>65</v>
      </c>
      <c r="D20" s="197" t="s">
        <v>112</v>
      </c>
      <c r="E20" s="198"/>
      <c r="F20" s="198"/>
      <c r="G20" s="199"/>
      <c r="H20" s="193" t="s">
        <v>105</v>
      </c>
      <c r="I20" s="194"/>
      <c r="L20" s="60" t="s">
        <v>110</v>
      </c>
      <c r="M20" s="61" t="s">
        <v>111</v>
      </c>
      <c r="N20" s="57" t="s">
        <v>16</v>
      </c>
      <c r="O20" s="9"/>
      <c r="Q20" s="5"/>
    </row>
    <row r="21" spans="1:17" ht="15" customHeight="1" x14ac:dyDescent="0.3">
      <c r="B21" s="26" t="s">
        <v>162</v>
      </c>
      <c r="C21" s="27" t="s">
        <v>131</v>
      </c>
      <c r="D21" s="200"/>
      <c r="E21" s="201"/>
      <c r="F21" s="201"/>
      <c r="G21" s="202"/>
      <c r="H21" s="195" t="s">
        <v>107</v>
      </c>
      <c r="I21" s="196"/>
      <c r="L21" s="30">
        <v>42374</v>
      </c>
      <c r="M21" s="24">
        <v>42589</v>
      </c>
      <c r="N21" s="25" t="s">
        <v>117</v>
      </c>
      <c r="O21" s="9"/>
      <c r="Q21" s="5"/>
    </row>
    <row r="22" spans="1:17" ht="15.6" x14ac:dyDescent="0.3">
      <c r="L22" s="31"/>
      <c r="M22" s="21"/>
      <c r="N22" s="67"/>
      <c r="O22" s="9"/>
      <c r="Q22" s="5"/>
    </row>
    <row r="23" spans="1:17" ht="15.6" x14ac:dyDescent="0.3">
      <c r="L23" s="31"/>
      <c r="M23" s="21"/>
      <c r="N23" s="68">
        <f>SUM(N25:N10000)</f>
        <v>53640</v>
      </c>
      <c r="O23" s="9"/>
      <c r="Q23" s="5"/>
    </row>
    <row r="24" spans="1:17" x14ac:dyDescent="0.3">
      <c r="A24" s="50"/>
      <c r="B24" s="51" t="s">
        <v>5</v>
      </c>
      <c r="C24" s="51" t="s">
        <v>65</v>
      </c>
      <c r="D24" s="51" t="s">
        <v>6</v>
      </c>
      <c r="E24" s="51" t="s">
        <v>13</v>
      </c>
      <c r="F24" s="51" t="s">
        <v>17</v>
      </c>
      <c r="G24" s="52" t="s">
        <v>14</v>
      </c>
      <c r="H24" s="52" t="s">
        <v>8</v>
      </c>
      <c r="I24" s="52" t="s">
        <v>105</v>
      </c>
      <c r="J24" s="50"/>
      <c r="K24" s="50"/>
      <c r="L24" s="53" t="s">
        <v>11</v>
      </c>
      <c r="M24" s="54" t="s">
        <v>16</v>
      </c>
      <c r="N24" s="55" t="s">
        <v>10</v>
      </c>
      <c r="O24" s="56"/>
      <c r="Q24" s="5"/>
    </row>
    <row r="25" spans="1:17" x14ac:dyDescent="0.3">
      <c r="B25" t="s">
        <v>163</v>
      </c>
      <c r="C25" s="3" t="s">
        <v>167</v>
      </c>
      <c r="D25">
        <v>1</v>
      </c>
      <c r="E25" s="5">
        <v>4.5</v>
      </c>
      <c r="F25" s="5">
        <v>8</v>
      </c>
      <c r="G25" s="8">
        <v>59</v>
      </c>
      <c r="H25" s="8">
        <v>41</v>
      </c>
      <c r="I25" t="s">
        <v>107</v>
      </c>
      <c r="L25" s="9">
        <v>42541</v>
      </c>
      <c r="M25" t="s">
        <v>117</v>
      </c>
      <c r="N25" s="5">
        <v>6848</v>
      </c>
      <c r="O25" s="9"/>
      <c r="Q25" s="5"/>
    </row>
    <row r="26" spans="1:17" x14ac:dyDescent="0.3">
      <c r="B26" t="s">
        <v>163</v>
      </c>
      <c r="C26" s="3" t="s">
        <v>169</v>
      </c>
      <c r="D26">
        <v>2</v>
      </c>
      <c r="E26" s="5">
        <v>5.5</v>
      </c>
      <c r="F26" s="5">
        <v>9</v>
      </c>
      <c r="G26" s="8">
        <v>149</v>
      </c>
      <c r="H26" s="8">
        <v>21</v>
      </c>
      <c r="I26" t="s">
        <v>107</v>
      </c>
      <c r="L26" s="9">
        <v>42542</v>
      </c>
      <c r="M26" t="s">
        <v>117</v>
      </c>
      <c r="N26" s="5">
        <v>7020</v>
      </c>
      <c r="O26" s="9"/>
      <c r="Q26" s="5"/>
    </row>
    <row r="27" spans="1:17" x14ac:dyDescent="0.3">
      <c r="B27" t="s">
        <v>163</v>
      </c>
      <c r="C27" s="3" t="s">
        <v>173</v>
      </c>
      <c r="D27">
        <v>6</v>
      </c>
      <c r="E27" s="5">
        <v>9.5</v>
      </c>
      <c r="F27" s="5">
        <v>13</v>
      </c>
      <c r="G27" s="8">
        <v>158</v>
      </c>
      <c r="H27" s="8">
        <v>10</v>
      </c>
      <c r="I27" t="s">
        <v>107</v>
      </c>
      <c r="L27" s="9">
        <v>42556</v>
      </c>
      <c r="M27" t="s">
        <v>117</v>
      </c>
      <c r="N27" s="5">
        <v>9638</v>
      </c>
      <c r="O27" s="9"/>
      <c r="Q27" s="5"/>
    </row>
    <row r="28" spans="1:17" x14ac:dyDescent="0.3">
      <c r="B28" t="s">
        <v>163</v>
      </c>
      <c r="C28" s="3" t="s">
        <v>169</v>
      </c>
      <c r="D28">
        <v>8</v>
      </c>
      <c r="E28" s="5">
        <v>11.5</v>
      </c>
      <c r="F28" s="5">
        <v>15</v>
      </c>
      <c r="G28" s="8">
        <v>149</v>
      </c>
      <c r="H28" s="8">
        <v>45</v>
      </c>
      <c r="I28" t="s">
        <v>107</v>
      </c>
      <c r="L28" s="9">
        <v>42557</v>
      </c>
      <c r="M28" t="s">
        <v>117</v>
      </c>
      <c r="N28" s="5">
        <v>9840</v>
      </c>
      <c r="O28" s="9"/>
      <c r="Q28" s="5"/>
    </row>
    <row r="29" spans="1:17" x14ac:dyDescent="0.3">
      <c r="B29" t="s">
        <v>162</v>
      </c>
      <c r="C29" s="3" t="s">
        <v>126</v>
      </c>
      <c r="D29">
        <v>11</v>
      </c>
      <c r="E29" s="5">
        <v>18.5</v>
      </c>
      <c r="F29" s="5">
        <v>20</v>
      </c>
      <c r="G29" s="8">
        <v>75</v>
      </c>
      <c r="H29" s="8">
        <v>12</v>
      </c>
      <c r="I29" t="s">
        <v>107</v>
      </c>
      <c r="L29" s="9">
        <v>42558</v>
      </c>
      <c r="M29" t="s">
        <v>117</v>
      </c>
      <c r="N29" s="5">
        <v>10044</v>
      </c>
      <c r="O29" s="9"/>
      <c r="Q29" s="5"/>
    </row>
    <row r="30" spans="1:17" x14ac:dyDescent="0.3">
      <c r="B30" t="s">
        <v>162</v>
      </c>
      <c r="C30" s="3" t="s">
        <v>127</v>
      </c>
      <c r="D30">
        <v>12</v>
      </c>
      <c r="E30" s="5">
        <v>19.5</v>
      </c>
      <c r="F30" s="5">
        <v>21</v>
      </c>
      <c r="G30" s="8">
        <v>76</v>
      </c>
      <c r="H30" s="8">
        <v>21</v>
      </c>
      <c r="I30" t="s">
        <v>107</v>
      </c>
      <c r="L30" s="9">
        <v>42559</v>
      </c>
      <c r="M30" t="s">
        <v>117</v>
      </c>
      <c r="N30" s="5">
        <v>10250</v>
      </c>
      <c r="O30" s="9"/>
      <c r="Q30" s="5"/>
    </row>
    <row r="31" spans="1:17" x14ac:dyDescent="0.3">
      <c r="B31" t="s">
        <v>162</v>
      </c>
      <c r="C31" s="3" t="s">
        <v>131</v>
      </c>
      <c r="D31">
        <v>16</v>
      </c>
      <c r="E31" s="5">
        <v>6.5</v>
      </c>
      <c r="F31" s="5">
        <v>8</v>
      </c>
      <c r="G31" s="8">
        <v>80</v>
      </c>
      <c r="H31" s="8">
        <v>50</v>
      </c>
      <c r="I31" t="s">
        <v>107</v>
      </c>
      <c r="L31" s="9"/>
      <c r="N31" s="5"/>
      <c r="O31" s="9"/>
      <c r="Q31" s="5"/>
    </row>
    <row r="32" spans="1:17" x14ac:dyDescent="0.3">
      <c r="B32" t="s">
        <v>162</v>
      </c>
      <c r="C32" s="3" t="s">
        <v>127</v>
      </c>
      <c r="D32">
        <v>18</v>
      </c>
      <c r="E32" s="5">
        <v>8.5</v>
      </c>
      <c r="F32" s="5">
        <v>10</v>
      </c>
      <c r="G32" s="8">
        <v>76</v>
      </c>
      <c r="H32" s="8">
        <v>48</v>
      </c>
      <c r="I32" t="s">
        <v>107</v>
      </c>
      <c r="L32" s="9"/>
      <c r="N32" s="5"/>
      <c r="O32" s="9"/>
      <c r="Q32" s="5"/>
    </row>
    <row r="33" spans="2:17" x14ac:dyDescent="0.3">
      <c r="B33" t="s">
        <v>162</v>
      </c>
      <c r="C33" s="3" t="s">
        <v>128</v>
      </c>
      <c r="D33">
        <v>19</v>
      </c>
      <c r="E33" s="5">
        <v>9.5</v>
      </c>
      <c r="F33" s="5">
        <v>11</v>
      </c>
      <c r="G33" s="8">
        <v>100</v>
      </c>
      <c r="H33" s="8">
        <v>21</v>
      </c>
      <c r="I33" t="s">
        <v>107</v>
      </c>
      <c r="L33" s="9"/>
      <c r="N33" s="5"/>
      <c r="O33" s="9"/>
      <c r="Q33" s="5"/>
    </row>
    <row r="34" spans="2:17" x14ac:dyDescent="0.3">
      <c r="C34" s="3"/>
      <c r="E34" s="5"/>
      <c r="F34" s="5"/>
      <c r="G34" s="8"/>
      <c r="H34" s="8"/>
      <c r="L34" s="9"/>
      <c r="N34" s="5"/>
      <c r="O34" s="9"/>
      <c r="Q34" s="5"/>
    </row>
    <row r="35" spans="2:17" x14ac:dyDescent="0.3">
      <c r="C35" s="3"/>
      <c r="E35" s="5"/>
      <c r="F35" s="5"/>
      <c r="G35" s="8"/>
      <c r="H35" s="8"/>
      <c r="L35" s="9"/>
      <c r="N35" s="5"/>
      <c r="O35" s="9"/>
      <c r="Q35" s="5"/>
    </row>
    <row r="36" spans="2:17" x14ac:dyDescent="0.3">
      <c r="C36" s="3"/>
      <c r="E36" s="5"/>
      <c r="F36" s="5"/>
      <c r="G36" s="8"/>
      <c r="H36" s="8"/>
      <c r="L36" s="9"/>
      <c r="N36" s="5"/>
      <c r="O36" s="9"/>
      <c r="Q36" s="5"/>
    </row>
    <row r="37" spans="2:17" x14ac:dyDescent="0.3">
      <c r="C37" s="3"/>
      <c r="E37" s="5"/>
      <c r="F37" s="5"/>
      <c r="G37" s="8"/>
      <c r="H37" s="8"/>
      <c r="L37" s="9"/>
      <c r="N37" s="5"/>
      <c r="O37" s="9"/>
      <c r="Q37" s="5"/>
    </row>
    <row r="38" spans="2:17" x14ac:dyDescent="0.3">
      <c r="C38" s="3"/>
      <c r="E38" s="5"/>
      <c r="F38" s="5"/>
      <c r="G38" s="8"/>
      <c r="H38" s="8"/>
      <c r="L38" s="9"/>
      <c r="N38" s="5"/>
      <c r="O38" s="9"/>
      <c r="Q38" s="5"/>
    </row>
    <row r="39" spans="2:17" x14ac:dyDescent="0.3">
      <c r="C39" s="3"/>
      <c r="E39" s="5"/>
      <c r="F39" s="5"/>
      <c r="G39" s="8"/>
      <c r="H39" s="8"/>
      <c r="L39" s="9"/>
      <c r="N39" s="5"/>
      <c r="O39" s="9"/>
      <c r="Q39" s="5"/>
    </row>
    <row r="40" spans="2:17" x14ac:dyDescent="0.3">
      <c r="C40" s="3"/>
      <c r="E40" s="5"/>
      <c r="F40" s="5"/>
      <c r="G40" s="8"/>
      <c r="H40" s="8"/>
      <c r="L40" s="9"/>
      <c r="N40" s="5"/>
      <c r="O40" s="9"/>
      <c r="Q40" s="5"/>
    </row>
    <row r="41" spans="2:17" x14ac:dyDescent="0.3">
      <c r="C41" s="3"/>
      <c r="E41" s="5"/>
      <c r="F41" s="5"/>
      <c r="G41" s="8"/>
      <c r="H41" s="8"/>
      <c r="L41" s="9"/>
      <c r="N41" s="5"/>
      <c r="O41" s="9"/>
      <c r="Q41" s="5"/>
    </row>
    <row r="42" spans="2:17" x14ac:dyDescent="0.3">
      <c r="C42" s="3"/>
      <c r="E42" s="5"/>
      <c r="F42" s="5"/>
      <c r="G42" s="8"/>
      <c r="H42" s="8"/>
      <c r="L42" s="9"/>
      <c r="N42" s="5"/>
      <c r="O42" s="9"/>
      <c r="Q42" s="5"/>
    </row>
    <row r="43" spans="2:17" x14ac:dyDescent="0.3">
      <c r="C43" s="3"/>
      <c r="E43" s="5"/>
      <c r="F43" s="5"/>
      <c r="G43" s="8"/>
      <c r="H43" s="8"/>
      <c r="L43" s="9"/>
      <c r="N43" s="5"/>
      <c r="O43" s="9"/>
      <c r="Q43" s="5"/>
    </row>
    <row r="44" spans="2:17" x14ac:dyDescent="0.3">
      <c r="C44" s="3"/>
      <c r="E44" s="5"/>
      <c r="F44" s="5"/>
      <c r="G44" s="8"/>
      <c r="H44" s="8"/>
      <c r="L44" s="9"/>
      <c r="N44" s="5"/>
      <c r="O44" s="9"/>
      <c r="Q44" s="5"/>
    </row>
    <row r="45" spans="2:17" x14ac:dyDescent="0.3">
      <c r="C45" s="3"/>
      <c r="E45" s="5"/>
      <c r="F45" s="5"/>
      <c r="G45" s="8"/>
      <c r="H45" s="8"/>
      <c r="L45" s="9"/>
      <c r="N45" s="5"/>
      <c r="O45" s="9"/>
      <c r="Q45" s="5"/>
    </row>
    <row r="46" spans="2:17" x14ac:dyDescent="0.3">
      <c r="C46" s="3"/>
      <c r="E46" s="5"/>
      <c r="F46" s="5"/>
      <c r="G46" s="8"/>
      <c r="H46" s="8"/>
      <c r="L46" s="9"/>
      <c r="N46" s="5"/>
      <c r="O46" s="9"/>
      <c r="Q46" s="5"/>
    </row>
    <row r="47" spans="2:17" x14ac:dyDescent="0.3">
      <c r="C47" s="3"/>
      <c r="E47" s="5"/>
      <c r="F47" s="5"/>
      <c r="G47" s="8"/>
      <c r="H47" s="8"/>
      <c r="L47" s="9"/>
      <c r="N47" s="5"/>
      <c r="O47" s="9"/>
      <c r="Q47" s="5"/>
    </row>
    <row r="48" spans="2:17" x14ac:dyDescent="0.3">
      <c r="C48" s="3"/>
      <c r="E48" s="5"/>
      <c r="F48" s="5"/>
      <c r="G48" s="8"/>
      <c r="H48" s="8"/>
      <c r="L48" s="9"/>
      <c r="N48" s="5"/>
      <c r="O48" s="9"/>
      <c r="Q48" s="5"/>
    </row>
    <row r="49" spans="3:17" x14ac:dyDescent="0.3">
      <c r="C49" s="3"/>
      <c r="E49" s="5"/>
      <c r="F49" s="5"/>
      <c r="G49" s="8"/>
      <c r="H49" s="8"/>
      <c r="L49" s="9"/>
      <c r="N49" s="5"/>
      <c r="O49" s="9"/>
      <c r="Q49" s="5"/>
    </row>
    <row r="50" spans="3:17" x14ac:dyDescent="0.3">
      <c r="C50" s="3"/>
      <c r="E50" s="5"/>
      <c r="F50" s="5"/>
      <c r="G50" s="8"/>
      <c r="H50" s="8"/>
      <c r="L50" s="9"/>
      <c r="N50" s="5"/>
      <c r="O50" s="9"/>
      <c r="Q50" s="5"/>
    </row>
    <row r="51" spans="3:17" x14ac:dyDescent="0.3">
      <c r="C51" s="3"/>
      <c r="E51" s="5"/>
      <c r="F51" s="5"/>
      <c r="G51" s="8"/>
      <c r="H51" s="8"/>
      <c r="L51" s="9"/>
      <c r="N51" s="5"/>
      <c r="O51" s="9"/>
      <c r="Q51" s="5"/>
    </row>
    <row r="52" spans="3:17" x14ac:dyDescent="0.3">
      <c r="C52" s="3"/>
      <c r="E52" s="5"/>
      <c r="F52" s="5"/>
      <c r="G52" s="8"/>
      <c r="H52" s="8"/>
      <c r="L52" s="9"/>
      <c r="N52" s="5"/>
      <c r="O52" s="9"/>
      <c r="Q52" s="5"/>
    </row>
    <row r="53" spans="3:17" x14ac:dyDescent="0.3">
      <c r="C53" s="3"/>
      <c r="E53" s="5"/>
      <c r="F53" s="5"/>
      <c r="G53" s="8"/>
      <c r="H53" s="8"/>
      <c r="L53" s="9"/>
      <c r="N53" s="5"/>
      <c r="O53" s="9"/>
      <c r="Q53" s="5"/>
    </row>
    <row r="54" spans="3:17" x14ac:dyDescent="0.3">
      <c r="E54" s="5"/>
      <c r="F54" s="5"/>
      <c r="G54" s="8"/>
      <c r="H54" s="8"/>
      <c r="L54" s="9"/>
      <c r="N54" s="5"/>
      <c r="O54" s="9"/>
      <c r="Q54" s="5"/>
    </row>
    <row r="55" spans="3:17" x14ac:dyDescent="0.3">
      <c r="C55" s="3"/>
      <c r="E55" s="5"/>
      <c r="F55" s="5"/>
      <c r="G55" s="8"/>
      <c r="H55" s="8"/>
      <c r="L55" s="9"/>
      <c r="N55" s="5"/>
      <c r="O55" s="9"/>
      <c r="Q55" s="5"/>
    </row>
    <row r="56" spans="3:17" x14ac:dyDescent="0.3">
      <c r="C56" s="3"/>
      <c r="E56" s="5"/>
      <c r="F56" s="5"/>
      <c r="G56" s="8"/>
      <c r="H56" s="8"/>
      <c r="L56" s="9"/>
      <c r="N56" s="5"/>
      <c r="O56" s="9"/>
      <c r="Q56" s="5"/>
    </row>
    <row r="57" spans="3:17" x14ac:dyDescent="0.3">
      <c r="C57" s="3"/>
      <c r="E57" s="5"/>
      <c r="F57" s="5"/>
      <c r="G57" s="8"/>
      <c r="H57" s="8"/>
      <c r="L57" s="9"/>
      <c r="N57" s="5"/>
      <c r="O57" s="9"/>
      <c r="Q57" s="5"/>
    </row>
    <row r="58" spans="3:17" x14ac:dyDescent="0.3">
      <c r="C58" s="3"/>
      <c r="E58" s="5"/>
      <c r="F58" s="5"/>
      <c r="G58" s="8"/>
      <c r="H58" s="8"/>
      <c r="L58" s="9"/>
      <c r="N58" s="5"/>
    </row>
    <row r="59" spans="3:17" x14ac:dyDescent="0.3">
      <c r="C59" s="3"/>
      <c r="E59" s="5"/>
      <c r="F59" s="5"/>
      <c r="G59" s="8"/>
      <c r="H59" s="8"/>
      <c r="L59" s="9"/>
      <c r="N59" s="5"/>
    </row>
    <row r="60" spans="3:17" x14ac:dyDescent="0.3">
      <c r="C60" s="3"/>
      <c r="E60" s="5"/>
      <c r="F60" s="5"/>
      <c r="G60" s="8"/>
      <c r="H60" s="8"/>
      <c r="L60" s="9"/>
      <c r="N60" s="5"/>
    </row>
    <row r="61" spans="3:17" x14ac:dyDescent="0.3">
      <c r="C61" s="3"/>
      <c r="E61" s="5"/>
      <c r="F61" s="5"/>
      <c r="G61" s="8"/>
      <c r="H61" s="8"/>
      <c r="L61" s="9"/>
      <c r="N61" s="5"/>
    </row>
    <row r="62" spans="3:17" x14ac:dyDescent="0.3">
      <c r="C62" s="3"/>
      <c r="E62" s="5"/>
      <c r="F62" s="5"/>
      <c r="G62" s="8"/>
      <c r="H62" s="8"/>
      <c r="L62" s="9"/>
      <c r="N62" s="5"/>
    </row>
    <row r="63" spans="3:17" x14ac:dyDescent="0.3">
      <c r="C63" s="3"/>
      <c r="E63" s="5"/>
      <c r="F63" s="5"/>
      <c r="G63" s="8"/>
      <c r="H63" s="8"/>
      <c r="L63" s="9"/>
      <c r="N63" s="5"/>
    </row>
    <row r="64" spans="3:17" x14ac:dyDescent="0.3">
      <c r="C64" s="3"/>
      <c r="E64" s="5"/>
      <c r="F64" s="5"/>
      <c r="G64" s="8"/>
      <c r="H64" s="8"/>
      <c r="L64" s="9"/>
      <c r="N64" s="5"/>
    </row>
    <row r="65" spans="3:14" x14ac:dyDescent="0.3">
      <c r="C65" s="3"/>
      <c r="E65" s="5"/>
      <c r="F65" s="5"/>
      <c r="G65" s="8"/>
      <c r="H65" s="8"/>
      <c r="L65" s="9"/>
      <c r="N65" s="5"/>
    </row>
    <row r="66" spans="3:14" x14ac:dyDescent="0.3">
      <c r="C66" s="3"/>
      <c r="E66" s="5"/>
      <c r="F66" s="5"/>
      <c r="G66" s="8"/>
      <c r="H66" s="8"/>
      <c r="L66" s="9"/>
      <c r="N66" s="5"/>
    </row>
    <row r="67" spans="3:14" x14ac:dyDescent="0.3">
      <c r="C67" s="3"/>
      <c r="E67" s="5"/>
      <c r="F67" s="5"/>
      <c r="G67" s="8"/>
      <c r="H67" s="8"/>
      <c r="L67" s="9"/>
      <c r="N67" s="5"/>
    </row>
    <row r="68" spans="3:14" x14ac:dyDescent="0.3">
      <c r="C68" s="3"/>
      <c r="E68" s="5"/>
      <c r="F68" s="5"/>
      <c r="G68" s="8"/>
      <c r="H68" s="8"/>
    </row>
    <row r="69" spans="3:14" x14ac:dyDescent="0.3">
      <c r="C69" s="3"/>
      <c r="E69" s="5"/>
      <c r="F69" s="5"/>
      <c r="G69" s="8"/>
      <c r="H69" s="8"/>
    </row>
    <row r="70" spans="3:14" x14ac:dyDescent="0.3">
      <c r="C70" s="3"/>
      <c r="E70" s="5"/>
      <c r="F70" s="5"/>
      <c r="G70" s="8"/>
      <c r="H70" s="8"/>
    </row>
    <row r="71" spans="3:14" x14ac:dyDescent="0.3">
      <c r="C71" s="3"/>
      <c r="E71" s="5"/>
      <c r="F71" s="5"/>
      <c r="G71" s="8"/>
      <c r="H71" s="8"/>
    </row>
    <row r="72" spans="3:14" x14ac:dyDescent="0.3">
      <c r="C72" s="3"/>
      <c r="E72" s="5"/>
      <c r="F72" s="5"/>
      <c r="G72" s="8"/>
      <c r="H72" s="8"/>
    </row>
    <row r="73" spans="3:14" x14ac:dyDescent="0.3">
      <c r="C73" s="3"/>
      <c r="E73" s="5"/>
      <c r="F73" s="5"/>
      <c r="G73" s="8"/>
      <c r="H73" s="8"/>
    </row>
    <row r="74" spans="3:14" x14ac:dyDescent="0.3">
      <c r="C74" s="3"/>
      <c r="E74" s="5"/>
      <c r="F74" s="5"/>
      <c r="G74" s="8"/>
      <c r="H74" s="8"/>
    </row>
    <row r="75" spans="3:14" x14ac:dyDescent="0.3">
      <c r="C75" s="3"/>
      <c r="E75" s="5"/>
      <c r="F75" s="5"/>
      <c r="G75" s="8"/>
      <c r="H75" s="8"/>
    </row>
    <row r="76" spans="3:14" x14ac:dyDescent="0.3">
      <c r="C76" s="3"/>
      <c r="E76" s="5"/>
      <c r="F76" s="5"/>
      <c r="G76" s="8"/>
      <c r="H76" s="8"/>
    </row>
    <row r="77" spans="3:14" x14ac:dyDescent="0.3">
      <c r="C77" s="3"/>
      <c r="E77" s="5"/>
      <c r="F77" s="5"/>
      <c r="G77" s="8"/>
      <c r="H77" s="8"/>
    </row>
    <row r="78" spans="3:14" x14ac:dyDescent="0.3">
      <c r="C78" s="3"/>
      <c r="E78" s="5"/>
      <c r="F78" s="5"/>
      <c r="G78" s="8"/>
      <c r="H78" s="8"/>
    </row>
    <row r="79" spans="3:14" x14ac:dyDescent="0.3">
      <c r="C79" s="3"/>
      <c r="E79" s="5"/>
      <c r="F79" s="5"/>
      <c r="G79" s="8"/>
      <c r="H79" s="8"/>
    </row>
    <row r="80" spans="3:14" x14ac:dyDescent="0.3">
      <c r="C80" s="3"/>
      <c r="E80" s="5"/>
      <c r="F80" s="5"/>
      <c r="G80" s="8"/>
      <c r="H80" s="8"/>
    </row>
    <row r="81" spans="3:8" x14ac:dyDescent="0.3">
      <c r="C81" s="3"/>
      <c r="E81" s="5"/>
      <c r="F81" s="5"/>
      <c r="G81" s="8"/>
      <c r="H81" s="8"/>
    </row>
    <row r="82" spans="3:8" x14ac:dyDescent="0.3">
      <c r="C82" s="3"/>
      <c r="E82" s="5"/>
      <c r="F82" s="5"/>
      <c r="G82" s="8"/>
      <c r="H82" s="8"/>
    </row>
    <row r="83" spans="3:8" x14ac:dyDescent="0.3">
      <c r="C83" s="3"/>
      <c r="E83" s="5"/>
      <c r="F83" s="5"/>
      <c r="G83" s="8"/>
      <c r="H83" s="8"/>
    </row>
    <row r="84" spans="3:8" x14ac:dyDescent="0.3">
      <c r="C84" s="3"/>
      <c r="E84" s="5"/>
      <c r="F84" s="5"/>
      <c r="G84" s="8"/>
      <c r="H84" s="8"/>
    </row>
    <row r="85" spans="3:8" x14ac:dyDescent="0.3">
      <c r="C85" s="3"/>
      <c r="E85" s="5"/>
      <c r="F85" s="5"/>
      <c r="G85" s="8"/>
      <c r="H85" s="8"/>
    </row>
    <row r="86" spans="3:8" x14ac:dyDescent="0.3">
      <c r="C86" s="3"/>
      <c r="E86" s="5"/>
      <c r="F86" s="5"/>
      <c r="G86" s="8"/>
      <c r="H86" s="8"/>
    </row>
    <row r="87" spans="3:8" x14ac:dyDescent="0.3">
      <c r="C87" s="3"/>
      <c r="E87" s="5"/>
      <c r="F87" s="5"/>
      <c r="G87" s="8"/>
      <c r="H87" s="8"/>
    </row>
    <row r="88" spans="3:8" x14ac:dyDescent="0.3">
      <c r="C88" s="3"/>
      <c r="E88" s="5"/>
      <c r="F88" s="5"/>
      <c r="G88" s="8"/>
      <c r="H88" s="8"/>
    </row>
    <row r="89" spans="3:8" x14ac:dyDescent="0.3">
      <c r="C89" s="3"/>
      <c r="E89" s="5"/>
      <c r="F89" s="5"/>
      <c r="G89" s="8"/>
      <c r="H89" s="8"/>
    </row>
    <row r="90" spans="3:8" x14ac:dyDescent="0.3">
      <c r="C90" s="3"/>
      <c r="E90" s="5"/>
      <c r="F90" s="5"/>
      <c r="G90" s="8"/>
      <c r="H90" s="8"/>
    </row>
    <row r="91" spans="3:8" x14ac:dyDescent="0.3">
      <c r="C91" s="3"/>
      <c r="E91" s="5"/>
      <c r="F91" s="5"/>
      <c r="G91" s="8"/>
      <c r="H91" s="8"/>
    </row>
    <row r="92" spans="3:8" x14ac:dyDescent="0.3">
      <c r="C92" s="3"/>
      <c r="E92" s="5"/>
      <c r="F92" s="5"/>
      <c r="G92" s="8"/>
      <c r="H92" s="8"/>
    </row>
    <row r="93" spans="3:8" x14ac:dyDescent="0.3">
      <c r="C93" s="3"/>
      <c r="E93" s="5"/>
      <c r="F93" s="5"/>
      <c r="G93" s="8"/>
      <c r="H93" s="8"/>
    </row>
    <row r="94" spans="3:8" x14ac:dyDescent="0.3">
      <c r="C94" s="3"/>
      <c r="E94" s="5"/>
      <c r="F94" s="5"/>
      <c r="G94" s="8"/>
      <c r="H94" s="8"/>
    </row>
    <row r="95" spans="3:8" x14ac:dyDescent="0.3">
      <c r="C95" s="3"/>
      <c r="E95" s="5"/>
      <c r="F95" s="5"/>
      <c r="G95" s="8"/>
      <c r="H95" s="8"/>
    </row>
    <row r="96" spans="3:8" x14ac:dyDescent="0.3">
      <c r="C96" s="3"/>
      <c r="E96" s="5"/>
      <c r="F96" s="5"/>
      <c r="G96" s="8"/>
      <c r="H96" s="8"/>
    </row>
    <row r="97" spans="3:8" x14ac:dyDescent="0.3">
      <c r="C97" s="3"/>
      <c r="E97" s="5"/>
      <c r="F97" s="5"/>
      <c r="G97" s="8"/>
      <c r="H97" s="8"/>
    </row>
    <row r="98" spans="3:8" x14ac:dyDescent="0.3">
      <c r="C98" s="3"/>
      <c r="E98" s="5"/>
      <c r="F98" s="5"/>
      <c r="G98" s="8"/>
      <c r="H98" s="8"/>
    </row>
    <row r="99" spans="3:8" x14ac:dyDescent="0.3">
      <c r="C99" s="3"/>
      <c r="E99" s="5"/>
      <c r="F99" s="5"/>
      <c r="G99" s="8"/>
      <c r="H99" s="8"/>
    </row>
    <row r="100" spans="3:8" x14ac:dyDescent="0.3">
      <c r="C100" s="3"/>
      <c r="E100" s="5"/>
      <c r="F100" s="5"/>
      <c r="G100" s="8"/>
      <c r="H100" s="8"/>
    </row>
    <row r="101" spans="3:8" x14ac:dyDescent="0.3">
      <c r="C101" s="3"/>
      <c r="E101" s="5"/>
      <c r="F101" s="5"/>
      <c r="G101" s="8"/>
      <c r="H101" s="8"/>
    </row>
    <row r="102" spans="3:8" x14ac:dyDescent="0.3">
      <c r="C102" s="3"/>
      <c r="E102" s="5"/>
      <c r="F102" s="5"/>
      <c r="G102" s="8"/>
      <c r="H102" s="8"/>
    </row>
    <row r="103" spans="3:8" x14ac:dyDescent="0.3">
      <c r="C103" s="3"/>
      <c r="E103" s="5"/>
      <c r="F103" s="5"/>
      <c r="G103" s="8"/>
      <c r="H103" s="8"/>
    </row>
    <row r="104" spans="3:8" x14ac:dyDescent="0.3">
      <c r="C104" s="3"/>
      <c r="E104" s="5"/>
      <c r="F104" s="5"/>
      <c r="G104" s="8"/>
      <c r="H104" s="8"/>
    </row>
    <row r="105" spans="3:8" x14ac:dyDescent="0.3">
      <c r="C105" s="3"/>
      <c r="E105" s="5"/>
      <c r="F105" s="5"/>
      <c r="G105" s="8"/>
      <c r="H105" s="8"/>
    </row>
    <row r="106" spans="3:8" x14ac:dyDescent="0.3">
      <c r="C106" s="3"/>
      <c r="E106" s="5"/>
      <c r="F106" s="5"/>
      <c r="G106" s="8"/>
      <c r="H106" s="8"/>
    </row>
    <row r="107" spans="3:8" x14ac:dyDescent="0.3">
      <c r="G107" s="8"/>
      <c r="H107" s="8"/>
    </row>
    <row r="108" spans="3:8" x14ac:dyDescent="0.3">
      <c r="G108" s="8"/>
      <c r="H108" s="8"/>
    </row>
    <row r="109" spans="3:8" x14ac:dyDescent="0.3">
      <c r="G109" s="8"/>
      <c r="H109" s="8"/>
    </row>
    <row r="110" spans="3:8" x14ac:dyDescent="0.3">
      <c r="G110" s="8"/>
      <c r="H110" s="8"/>
    </row>
    <row r="111" spans="3:8" x14ac:dyDescent="0.3">
      <c r="G111" s="8"/>
      <c r="H111" s="8"/>
    </row>
    <row r="112" spans="3:8" x14ac:dyDescent="0.3">
      <c r="G112" s="8"/>
      <c r="H112" s="8"/>
    </row>
    <row r="113" spans="7:8" x14ac:dyDescent="0.3">
      <c r="G113" s="8"/>
      <c r="H113" s="8"/>
    </row>
    <row r="114" spans="7:8" x14ac:dyDescent="0.3">
      <c r="G114" s="8"/>
      <c r="H114" s="8"/>
    </row>
    <row r="115" spans="7:8" x14ac:dyDescent="0.3">
      <c r="G115" s="8"/>
      <c r="H115" s="8"/>
    </row>
    <row r="116" spans="7:8" x14ac:dyDescent="0.3">
      <c r="G116" s="8"/>
      <c r="H116" s="8"/>
    </row>
    <row r="117" spans="7:8" x14ac:dyDescent="0.3">
      <c r="G117" s="8"/>
      <c r="H117" s="8"/>
    </row>
    <row r="118" spans="7:8" x14ac:dyDescent="0.3">
      <c r="G118" s="8"/>
      <c r="H118" s="8"/>
    </row>
    <row r="119" spans="7:8" x14ac:dyDescent="0.3">
      <c r="G119" s="8"/>
      <c r="H119" s="8"/>
    </row>
    <row r="120" spans="7:8" x14ac:dyDescent="0.3">
      <c r="G120" s="8"/>
      <c r="H120" s="8"/>
    </row>
    <row r="121" spans="7:8" x14ac:dyDescent="0.3">
      <c r="G121" s="8"/>
      <c r="H121" s="8"/>
    </row>
    <row r="122" spans="7:8" x14ac:dyDescent="0.3">
      <c r="G122" s="8"/>
      <c r="H122" s="8"/>
    </row>
    <row r="123" spans="7:8" x14ac:dyDescent="0.3">
      <c r="G123" s="8"/>
      <c r="H123" s="8"/>
    </row>
    <row r="124" spans="7:8" x14ac:dyDescent="0.3">
      <c r="G124" s="8"/>
      <c r="H124" s="8"/>
    </row>
    <row r="125" spans="7:8" x14ac:dyDescent="0.3">
      <c r="G125" s="8"/>
      <c r="H125" s="8"/>
    </row>
    <row r="126" spans="7:8" x14ac:dyDescent="0.3">
      <c r="G126" s="8"/>
      <c r="H126" s="8"/>
    </row>
    <row r="127" spans="7:8" x14ac:dyDescent="0.3">
      <c r="G127" s="8"/>
      <c r="H127" s="8"/>
    </row>
    <row r="128" spans="7:8" x14ac:dyDescent="0.3">
      <c r="G128" s="8"/>
      <c r="H128" s="8"/>
    </row>
    <row r="129" spans="7:8" x14ac:dyDescent="0.3">
      <c r="G129" s="8"/>
      <c r="H129" s="8"/>
    </row>
    <row r="130" spans="7:8" x14ac:dyDescent="0.3">
      <c r="G130" s="8"/>
      <c r="H130" s="8"/>
    </row>
    <row r="131" spans="7:8" x14ac:dyDescent="0.3">
      <c r="G131" s="8"/>
      <c r="H131" s="8"/>
    </row>
    <row r="132" spans="7:8" x14ac:dyDescent="0.3">
      <c r="G132" s="8"/>
      <c r="H132" s="8"/>
    </row>
    <row r="133" spans="7:8" x14ac:dyDescent="0.3">
      <c r="G133" s="8"/>
      <c r="H133" s="8"/>
    </row>
    <row r="134" spans="7:8" x14ac:dyDescent="0.3">
      <c r="G134" s="8"/>
      <c r="H134" s="8"/>
    </row>
    <row r="135" spans="7:8" x14ac:dyDescent="0.3">
      <c r="G135" s="8"/>
      <c r="H135" s="8"/>
    </row>
    <row r="136" spans="7:8" x14ac:dyDescent="0.3">
      <c r="G136" s="8"/>
      <c r="H136" s="8"/>
    </row>
    <row r="137" spans="7:8" x14ac:dyDescent="0.3">
      <c r="G137" s="8"/>
      <c r="H137" s="8"/>
    </row>
    <row r="138" spans="7:8" x14ac:dyDescent="0.3">
      <c r="G138" s="8"/>
      <c r="H138" s="8"/>
    </row>
    <row r="139" spans="7:8" x14ac:dyDescent="0.3">
      <c r="G139" s="8"/>
      <c r="H139" s="8"/>
    </row>
    <row r="140" spans="7:8" x14ac:dyDescent="0.3">
      <c r="G140" s="8"/>
      <c r="H140" s="8"/>
    </row>
    <row r="141" spans="7:8" x14ac:dyDescent="0.3">
      <c r="G141" s="8"/>
      <c r="H141" s="8"/>
    </row>
    <row r="142" spans="7:8" x14ac:dyDescent="0.3">
      <c r="G142" s="8"/>
      <c r="H142" s="8"/>
    </row>
    <row r="143" spans="7:8" x14ac:dyDescent="0.3">
      <c r="G143" s="8"/>
      <c r="H143" s="8"/>
    </row>
    <row r="144" spans="7:8" x14ac:dyDescent="0.3">
      <c r="G144" s="8"/>
      <c r="H144" s="8"/>
    </row>
    <row r="145" spans="7:8" x14ac:dyDescent="0.3">
      <c r="G145" s="8"/>
      <c r="H145" s="8"/>
    </row>
    <row r="146" spans="7:8" x14ac:dyDescent="0.3">
      <c r="G146" s="8"/>
      <c r="H146" s="8"/>
    </row>
    <row r="147" spans="7:8" x14ac:dyDescent="0.3">
      <c r="G147" s="8"/>
      <c r="H147" s="8"/>
    </row>
    <row r="148" spans="7:8" x14ac:dyDescent="0.3">
      <c r="G148" s="8"/>
      <c r="H148" s="8"/>
    </row>
    <row r="149" spans="7:8" x14ac:dyDescent="0.3">
      <c r="G149" s="8"/>
      <c r="H149" s="8"/>
    </row>
    <row r="150" spans="7:8" x14ac:dyDescent="0.3">
      <c r="G150" s="8"/>
      <c r="H150" s="8"/>
    </row>
    <row r="151" spans="7:8" x14ac:dyDescent="0.3">
      <c r="G151" s="8"/>
      <c r="H151" s="8"/>
    </row>
    <row r="152" spans="7:8" x14ac:dyDescent="0.3">
      <c r="G152" s="8"/>
      <c r="H152" s="8"/>
    </row>
    <row r="153" spans="7:8" x14ac:dyDescent="0.3">
      <c r="G153" s="8"/>
      <c r="H153" s="8"/>
    </row>
    <row r="154" spans="7:8" x14ac:dyDescent="0.3">
      <c r="G154" s="8"/>
      <c r="H154" s="8"/>
    </row>
    <row r="155" spans="7:8" x14ac:dyDescent="0.3">
      <c r="G155" s="8"/>
      <c r="H155" s="8"/>
    </row>
    <row r="156" spans="7:8" x14ac:dyDescent="0.3">
      <c r="G156" s="8"/>
      <c r="H156" s="8"/>
    </row>
    <row r="157" spans="7:8" x14ac:dyDescent="0.3">
      <c r="G157" s="8"/>
      <c r="H157" s="8"/>
    </row>
    <row r="158" spans="7:8" x14ac:dyDescent="0.3">
      <c r="G158" s="8"/>
      <c r="H158" s="8"/>
    </row>
    <row r="159" spans="7:8" x14ac:dyDescent="0.3">
      <c r="G159" s="8"/>
      <c r="H159" s="8"/>
    </row>
    <row r="160" spans="7:8" x14ac:dyDescent="0.3">
      <c r="G160" s="8"/>
      <c r="H160" s="8"/>
    </row>
    <row r="161" spans="7:8" x14ac:dyDescent="0.3">
      <c r="G161" s="8"/>
      <c r="H161" s="8"/>
    </row>
    <row r="162" spans="7:8" x14ac:dyDescent="0.3">
      <c r="G162" s="8"/>
      <c r="H162" s="8"/>
    </row>
    <row r="163" spans="7:8" x14ac:dyDescent="0.3">
      <c r="G163" s="8"/>
      <c r="H163" s="8"/>
    </row>
    <row r="164" spans="7:8" x14ac:dyDescent="0.3">
      <c r="G164" s="8"/>
      <c r="H164" s="8"/>
    </row>
    <row r="165" spans="7:8" x14ac:dyDescent="0.3">
      <c r="G165" s="8"/>
      <c r="H165" s="8"/>
    </row>
    <row r="166" spans="7:8" x14ac:dyDescent="0.3">
      <c r="G166" s="8"/>
      <c r="H166" s="8"/>
    </row>
    <row r="167" spans="7:8" x14ac:dyDescent="0.3">
      <c r="G167" s="8"/>
      <c r="H167" s="8"/>
    </row>
    <row r="168" spans="7:8" x14ac:dyDescent="0.3">
      <c r="G168" s="8"/>
      <c r="H168" s="8"/>
    </row>
    <row r="169" spans="7:8" x14ac:dyDescent="0.3">
      <c r="G169" s="8"/>
      <c r="H169" s="8"/>
    </row>
    <row r="170" spans="7:8" x14ac:dyDescent="0.3">
      <c r="G170" s="8"/>
      <c r="H170" s="8"/>
    </row>
    <row r="171" spans="7:8" x14ac:dyDescent="0.3">
      <c r="G171" s="8"/>
      <c r="H171" s="8"/>
    </row>
    <row r="172" spans="7:8" x14ac:dyDescent="0.3">
      <c r="G172" s="8"/>
      <c r="H172" s="8"/>
    </row>
    <row r="173" spans="7:8" x14ac:dyDescent="0.3">
      <c r="G173" s="8"/>
      <c r="H173" s="8"/>
    </row>
    <row r="174" spans="7:8" x14ac:dyDescent="0.3">
      <c r="G174" s="8"/>
      <c r="H174" s="8"/>
    </row>
    <row r="175" spans="7:8" x14ac:dyDescent="0.3">
      <c r="G175" s="8"/>
      <c r="H175" s="8"/>
    </row>
    <row r="176" spans="7:8" x14ac:dyDescent="0.3">
      <c r="G176" s="8"/>
      <c r="H176" s="8"/>
    </row>
    <row r="177" spans="7:8" x14ac:dyDescent="0.3">
      <c r="G177" s="8"/>
      <c r="H177" s="8"/>
    </row>
    <row r="178" spans="7:8" x14ac:dyDescent="0.3">
      <c r="G178" s="8"/>
      <c r="H178" s="8"/>
    </row>
    <row r="179" spans="7:8" x14ac:dyDescent="0.3">
      <c r="G179" s="8"/>
      <c r="H179" s="8"/>
    </row>
    <row r="180" spans="7:8" x14ac:dyDescent="0.3">
      <c r="G180" s="8"/>
      <c r="H180" s="8"/>
    </row>
    <row r="181" spans="7:8" x14ac:dyDescent="0.3">
      <c r="G181" s="8"/>
      <c r="H181" s="8"/>
    </row>
    <row r="182" spans="7:8" x14ac:dyDescent="0.3">
      <c r="G182" s="8"/>
      <c r="H182" s="8"/>
    </row>
    <row r="183" spans="7:8" x14ac:dyDescent="0.3">
      <c r="G183" s="8"/>
      <c r="H183" s="8"/>
    </row>
    <row r="184" spans="7:8" x14ac:dyDescent="0.3">
      <c r="G184" s="8"/>
      <c r="H184" s="8"/>
    </row>
    <row r="185" spans="7:8" x14ac:dyDescent="0.3">
      <c r="G185" s="8"/>
      <c r="H185" s="8"/>
    </row>
    <row r="186" spans="7:8" x14ac:dyDescent="0.3">
      <c r="G186" s="8"/>
      <c r="H186" s="8"/>
    </row>
    <row r="187" spans="7:8" x14ac:dyDescent="0.3">
      <c r="G187" s="8"/>
      <c r="H187" s="8"/>
    </row>
    <row r="188" spans="7:8" x14ac:dyDescent="0.3">
      <c r="G188" s="8"/>
      <c r="H188" s="8"/>
    </row>
    <row r="189" spans="7:8" x14ac:dyDescent="0.3">
      <c r="G189" s="8"/>
      <c r="H189" s="8"/>
    </row>
    <row r="190" spans="7:8" x14ac:dyDescent="0.3">
      <c r="G190" s="8"/>
      <c r="H190" s="8"/>
    </row>
    <row r="191" spans="7:8" x14ac:dyDescent="0.3">
      <c r="G191" s="8"/>
      <c r="H191" s="8"/>
    </row>
    <row r="192" spans="7:8" x14ac:dyDescent="0.3">
      <c r="G192" s="8"/>
      <c r="H192" s="8"/>
    </row>
    <row r="193" spans="7:8" x14ac:dyDescent="0.3">
      <c r="G193" s="8"/>
      <c r="H193" s="8"/>
    </row>
    <row r="194" spans="7:8" x14ac:dyDescent="0.3">
      <c r="G194" s="8"/>
      <c r="H194" s="8"/>
    </row>
    <row r="195" spans="7:8" x14ac:dyDescent="0.3">
      <c r="G195" s="8"/>
      <c r="H195" s="8"/>
    </row>
    <row r="196" spans="7:8" x14ac:dyDescent="0.3">
      <c r="G196" s="8"/>
      <c r="H196" s="8"/>
    </row>
    <row r="197" spans="7:8" x14ac:dyDescent="0.3">
      <c r="G197" s="8"/>
      <c r="H197" s="8"/>
    </row>
    <row r="198" spans="7:8" x14ac:dyDescent="0.3">
      <c r="G198" s="8"/>
      <c r="H198" s="8"/>
    </row>
    <row r="199" spans="7:8" x14ac:dyDescent="0.3">
      <c r="G199" s="8"/>
      <c r="H199" s="8"/>
    </row>
    <row r="200" spans="7:8" x14ac:dyDescent="0.3">
      <c r="G200" s="8"/>
      <c r="H200" s="8"/>
    </row>
    <row r="201" spans="7:8" x14ac:dyDescent="0.3">
      <c r="G201" s="8"/>
      <c r="H201" s="8"/>
    </row>
    <row r="202" spans="7:8" x14ac:dyDescent="0.3">
      <c r="G202" s="8"/>
      <c r="H202" s="8"/>
    </row>
    <row r="203" spans="7:8" x14ac:dyDescent="0.3">
      <c r="G203" s="8"/>
      <c r="H203" s="8"/>
    </row>
    <row r="204" spans="7:8" x14ac:dyDescent="0.3">
      <c r="G204" s="8"/>
      <c r="H204" s="8"/>
    </row>
    <row r="205" spans="7:8" x14ac:dyDescent="0.3">
      <c r="G205" s="8"/>
      <c r="H205" s="8"/>
    </row>
    <row r="206" spans="7:8" x14ac:dyDescent="0.3">
      <c r="G206" s="8"/>
      <c r="H206" s="8"/>
    </row>
    <row r="207" spans="7:8" x14ac:dyDescent="0.3">
      <c r="G207" s="8"/>
      <c r="H207" s="8"/>
    </row>
    <row r="208" spans="7:8" x14ac:dyDescent="0.3">
      <c r="G208" s="8"/>
      <c r="H208" s="8"/>
    </row>
    <row r="209" spans="7:8" x14ac:dyDescent="0.3">
      <c r="G209" s="8"/>
      <c r="H209" s="8"/>
    </row>
    <row r="210" spans="7:8" x14ac:dyDescent="0.3">
      <c r="G210" s="8"/>
      <c r="H210" s="8"/>
    </row>
    <row r="211" spans="7:8" x14ac:dyDescent="0.3">
      <c r="G211" s="8"/>
      <c r="H211" s="8"/>
    </row>
    <row r="212" spans="7:8" x14ac:dyDescent="0.3">
      <c r="G212" s="8"/>
      <c r="H212" s="8"/>
    </row>
    <row r="213" spans="7:8" x14ac:dyDescent="0.3">
      <c r="G213" s="8"/>
      <c r="H213" s="8"/>
    </row>
    <row r="214" spans="7:8" x14ac:dyDescent="0.3">
      <c r="G214" s="8"/>
      <c r="H214" s="8"/>
    </row>
    <row r="215" spans="7:8" x14ac:dyDescent="0.3">
      <c r="G215" s="8"/>
      <c r="H215" s="8"/>
    </row>
    <row r="216" spans="7:8" x14ac:dyDescent="0.3">
      <c r="G216" s="8"/>
      <c r="H216" s="8"/>
    </row>
    <row r="217" spans="7:8" x14ac:dyDescent="0.3">
      <c r="G217" s="8"/>
      <c r="H217" s="8"/>
    </row>
    <row r="218" spans="7:8" x14ac:dyDescent="0.3">
      <c r="G218" s="8"/>
      <c r="H218" s="8"/>
    </row>
    <row r="219" spans="7:8" x14ac:dyDescent="0.3">
      <c r="G219" s="8"/>
      <c r="H219" s="8"/>
    </row>
    <row r="220" spans="7:8" x14ac:dyDescent="0.3">
      <c r="G220" s="8"/>
      <c r="H220" s="8"/>
    </row>
    <row r="221" spans="7:8" x14ac:dyDescent="0.3">
      <c r="G221" s="8"/>
      <c r="H221" s="8"/>
    </row>
    <row r="222" spans="7:8" x14ac:dyDescent="0.3">
      <c r="G222" s="8"/>
      <c r="H222" s="8"/>
    </row>
    <row r="223" spans="7:8" x14ac:dyDescent="0.3">
      <c r="G223" s="8"/>
      <c r="H223" s="8"/>
    </row>
    <row r="224" spans="7:8" x14ac:dyDescent="0.3">
      <c r="G224" s="8"/>
      <c r="H224" s="8"/>
    </row>
    <row r="225" spans="7:8" x14ac:dyDescent="0.3">
      <c r="G225" s="8"/>
      <c r="H225" s="8"/>
    </row>
    <row r="226" spans="7:8" x14ac:dyDescent="0.3">
      <c r="G226" s="8"/>
      <c r="H226" s="8"/>
    </row>
    <row r="227" spans="7:8" x14ac:dyDescent="0.3">
      <c r="G227" s="8"/>
      <c r="H227" s="8"/>
    </row>
    <row r="228" spans="7:8" x14ac:dyDescent="0.3">
      <c r="G228" s="8"/>
      <c r="H228" s="8"/>
    </row>
    <row r="229" spans="7:8" x14ac:dyDescent="0.3">
      <c r="G229" s="8"/>
      <c r="H229" s="8"/>
    </row>
    <row r="230" spans="7:8" x14ac:dyDescent="0.3">
      <c r="G230" s="8"/>
      <c r="H230" s="8"/>
    </row>
    <row r="231" spans="7:8" x14ac:dyDescent="0.3">
      <c r="G231" s="8"/>
      <c r="H231" s="8"/>
    </row>
    <row r="232" spans="7:8" x14ac:dyDescent="0.3">
      <c r="G232" s="8"/>
      <c r="H232" s="8"/>
    </row>
    <row r="233" spans="7:8" x14ac:dyDescent="0.3">
      <c r="G233" s="8"/>
      <c r="H233" s="8"/>
    </row>
    <row r="234" spans="7:8" x14ac:dyDescent="0.3">
      <c r="G234" s="8"/>
      <c r="H234" s="8"/>
    </row>
    <row r="235" spans="7:8" x14ac:dyDescent="0.3">
      <c r="G235" s="8"/>
      <c r="H235" s="8"/>
    </row>
    <row r="236" spans="7:8" x14ac:dyDescent="0.3">
      <c r="G236" s="8"/>
      <c r="H236" s="8"/>
    </row>
    <row r="237" spans="7:8" x14ac:dyDescent="0.3">
      <c r="G237" s="8"/>
      <c r="H237" s="8"/>
    </row>
    <row r="238" spans="7:8" x14ac:dyDescent="0.3">
      <c r="G238" s="8"/>
      <c r="H238" s="8"/>
    </row>
    <row r="239" spans="7:8" x14ac:dyDescent="0.3">
      <c r="G239" s="8"/>
      <c r="H239" s="8"/>
    </row>
    <row r="240" spans="7:8" x14ac:dyDescent="0.3">
      <c r="G240" s="8"/>
      <c r="H240" s="8"/>
    </row>
    <row r="241" spans="7:8" x14ac:dyDescent="0.3">
      <c r="G241" s="8"/>
      <c r="H241" s="8"/>
    </row>
    <row r="242" spans="7:8" x14ac:dyDescent="0.3">
      <c r="G242" s="8"/>
      <c r="H242" s="8"/>
    </row>
    <row r="243" spans="7:8" x14ac:dyDescent="0.3">
      <c r="G243" s="8"/>
      <c r="H243" s="8"/>
    </row>
    <row r="244" spans="7:8" x14ac:dyDescent="0.3">
      <c r="G244" s="8"/>
      <c r="H244" s="8"/>
    </row>
    <row r="245" spans="7:8" x14ac:dyDescent="0.3">
      <c r="G245" s="8"/>
      <c r="H245" s="8"/>
    </row>
    <row r="246" spans="7:8" x14ac:dyDescent="0.3">
      <c r="G246" s="8"/>
      <c r="H246" s="8"/>
    </row>
    <row r="247" spans="7:8" x14ac:dyDescent="0.3">
      <c r="G247" s="8"/>
      <c r="H247" s="8"/>
    </row>
    <row r="248" spans="7:8" x14ac:dyDescent="0.3">
      <c r="G248" s="8"/>
      <c r="H248" s="8"/>
    </row>
    <row r="249" spans="7:8" x14ac:dyDescent="0.3">
      <c r="G249" s="8"/>
      <c r="H249" s="8"/>
    </row>
    <row r="250" spans="7:8" x14ac:dyDescent="0.3">
      <c r="G250" s="8"/>
      <c r="H250" s="8"/>
    </row>
    <row r="251" spans="7:8" x14ac:dyDescent="0.3">
      <c r="G251" s="8"/>
      <c r="H251" s="8"/>
    </row>
    <row r="252" spans="7:8" x14ac:dyDescent="0.3">
      <c r="G252" s="8"/>
      <c r="H252" s="8"/>
    </row>
    <row r="253" spans="7:8" x14ac:dyDescent="0.3">
      <c r="G253" s="8"/>
      <c r="H253" s="8"/>
    </row>
    <row r="254" spans="7:8" x14ac:dyDescent="0.3">
      <c r="G254" s="8"/>
      <c r="H254" s="8"/>
    </row>
    <row r="255" spans="7:8" x14ac:dyDescent="0.3">
      <c r="G255" s="8"/>
      <c r="H255" s="8"/>
    </row>
    <row r="256" spans="7:8" x14ac:dyDescent="0.3">
      <c r="G256" s="8"/>
      <c r="H256" s="8"/>
    </row>
    <row r="257" spans="7:8" x14ac:dyDescent="0.3">
      <c r="G257" s="8"/>
      <c r="H257" s="8"/>
    </row>
    <row r="258" spans="7:8" x14ac:dyDescent="0.3">
      <c r="G258" s="8"/>
      <c r="H258" s="8"/>
    </row>
    <row r="259" spans="7:8" x14ac:dyDescent="0.3">
      <c r="G259" s="8"/>
      <c r="H259" s="8"/>
    </row>
    <row r="260" spans="7:8" x14ac:dyDescent="0.3">
      <c r="G260" s="8"/>
      <c r="H260" s="8"/>
    </row>
    <row r="261" spans="7:8" x14ac:dyDescent="0.3">
      <c r="G261" s="8"/>
      <c r="H261" s="8"/>
    </row>
    <row r="262" spans="7:8" x14ac:dyDescent="0.3">
      <c r="G262" s="8"/>
      <c r="H262" s="8"/>
    </row>
    <row r="263" spans="7:8" x14ac:dyDescent="0.3">
      <c r="G263" s="8"/>
      <c r="H263" s="8"/>
    </row>
    <row r="264" spans="7:8" x14ac:dyDescent="0.3">
      <c r="G264" s="8"/>
      <c r="H264" s="8"/>
    </row>
    <row r="265" spans="7:8" x14ac:dyDescent="0.3">
      <c r="G265" s="8"/>
      <c r="H265" s="8"/>
    </row>
    <row r="266" spans="7:8" x14ac:dyDescent="0.3">
      <c r="G266" s="8"/>
      <c r="H266" s="8"/>
    </row>
    <row r="267" spans="7:8" x14ac:dyDescent="0.3">
      <c r="G267" s="8"/>
      <c r="H267" s="8"/>
    </row>
    <row r="268" spans="7:8" x14ac:dyDescent="0.3">
      <c r="G268" s="8"/>
      <c r="H268" s="8"/>
    </row>
    <row r="269" spans="7:8" x14ac:dyDescent="0.3">
      <c r="G269" s="8"/>
      <c r="H269" s="8"/>
    </row>
    <row r="270" spans="7:8" x14ac:dyDescent="0.3">
      <c r="G270" s="8"/>
      <c r="H270" s="8"/>
    </row>
    <row r="271" spans="7:8" x14ac:dyDescent="0.3">
      <c r="G271" s="8"/>
      <c r="H271" s="8"/>
    </row>
    <row r="272" spans="7:8" x14ac:dyDescent="0.3">
      <c r="G272" s="8"/>
      <c r="H272" s="8"/>
    </row>
    <row r="273" spans="7:8" x14ac:dyDescent="0.3">
      <c r="G273" s="8"/>
      <c r="H273" s="8"/>
    </row>
    <row r="274" spans="7:8" x14ac:dyDescent="0.3">
      <c r="G274" s="8"/>
      <c r="H274" s="8"/>
    </row>
    <row r="275" spans="7:8" x14ac:dyDescent="0.3">
      <c r="G275" s="8"/>
      <c r="H275" s="8"/>
    </row>
    <row r="276" spans="7:8" x14ac:dyDescent="0.3">
      <c r="G276" s="8"/>
      <c r="H276" s="8"/>
    </row>
    <row r="277" spans="7:8" x14ac:dyDescent="0.3">
      <c r="G277" s="8"/>
      <c r="H277" s="8"/>
    </row>
    <row r="278" spans="7:8" x14ac:dyDescent="0.3">
      <c r="G278" s="8"/>
      <c r="H278" s="8"/>
    </row>
    <row r="279" spans="7:8" x14ac:dyDescent="0.3">
      <c r="G279" s="8"/>
      <c r="H279" s="8"/>
    </row>
    <row r="280" spans="7:8" x14ac:dyDescent="0.3">
      <c r="G280" s="8"/>
      <c r="H280" s="8"/>
    </row>
    <row r="281" spans="7:8" x14ac:dyDescent="0.3">
      <c r="G281" s="8"/>
      <c r="H281" s="8"/>
    </row>
    <row r="282" spans="7:8" x14ac:dyDescent="0.3">
      <c r="G282" s="8"/>
      <c r="H282" s="8"/>
    </row>
    <row r="283" spans="7:8" x14ac:dyDescent="0.3">
      <c r="G283" s="8"/>
      <c r="H283" s="8"/>
    </row>
    <row r="284" spans="7:8" x14ac:dyDescent="0.3">
      <c r="G284" s="8"/>
      <c r="H284" s="8"/>
    </row>
    <row r="285" spans="7:8" x14ac:dyDescent="0.3">
      <c r="G285" s="8"/>
      <c r="H285" s="8"/>
    </row>
    <row r="286" spans="7:8" x14ac:dyDescent="0.3">
      <c r="G286" s="8"/>
      <c r="H286" s="8"/>
    </row>
    <row r="287" spans="7:8" x14ac:dyDescent="0.3">
      <c r="G287" s="8"/>
      <c r="H287" s="8"/>
    </row>
    <row r="288" spans="7:8" x14ac:dyDescent="0.3">
      <c r="G288" s="8"/>
      <c r="H288" s="8"/>
    </row>
    <row r="289" spans="7:8" x14ac:dyDescent="0.3">
      <c r="G289" s="8"/>
      <c r="H289" s="8"/>
    </row>
    <row r="290" spans="7:8" x14ac:dyDescent="0.3">
      <c r="G290" s="8"/>
      <c r="H290" s="8"/>
    </row>
    <row r="291" spans="7:8" x14ac:dyDescent="0.3">
      <c r="G291" s="8"/>
      <c r="H291" s="8"/>
    </row>
    <row r="292" spans="7:8" x14ac:dyDescent="0.3">
      <c r="G292" s="8"/>
      <c r="H292" s="8"/>
    </row>
    <row r="293" spans="7:8" x14ac:dyDescent="0.3">
      <c r="G293" s="8"/>
      <c r="H293" s="8"/>
    </row>
    <row r="294" spans="7:8" x14ac:dyDescent="0.3">
      <c r="G294" s="8"/>
      <c r="H294" s="8"/>
    </row>
    <row r="295" spans="7:8" x14ac:dyDescent="0.3">
      <c r="G295" s="8"/>
      <c r="H295" s="8"/>
    </row>
    <row r="296" spans="7:8" x14ac:dyDescent="0.3">
      <c r="G296" s="8"/>
      <c r="H296" s="8"/>
    </row>
    <row r="297" spans="7:8" x14ac:dyDescent="0.3">
      <c r="G297" s="8"/>
      <c r="H297" s="8"/>
    </row>
    <row r="298" spans="7:8" x14ac:dyDescent="0.3">
      <c r="G298" s="8"/>
      <c r="H298" s="8"/>
    </row>
    <row r="299" spans="7:8" x14ac:dyDescent="0.3">
      <c r="G299" s="8"/>
      <c r="H299" s="8"/>
    </row>
    <row r="300" spans="7:8" x14ac:dyDescent="0.3">
      <c r="G300" s="8"/>
      <c r="H300" s="8"/>
    </row>
    <row r="301" spans="7:8" x14ac:dyDescent="0.3">
      <c r="G301" s="8"/>
      <c r="H301" s="8"/>
    </row>
    <row r="302" spans="7:8" x14ac:dyDescent="0.3">
      <c r="G302" s="8"/>
      <c r="H302" s="8"/>
    </row>
    <row r="303" spans="7:8" x14ac:dyDescent="0.3">
      <c r="G303" s="8"/>
      <c r="H303" s="8"/>
    </row>
    <row r="304" spans="7:8" x14ac:dyDescent="0.3">
      <c r="G304" s="8"/>
      <c r="H304" s="8"/>
    </row>
    <row r="305" spans="7:8" x14ac:dyDescent="0.3">
      <c r="G305" s="8"/>
      <c r="H305" s="8"/>
    </row>
    <row r="306" spans="7:8" x14ac:dyDescent="0.3">
      <c r="G306" s="8"/>
      <c r="H306" s="8"/>
    </row>
    <row r="307" spans="7:8" x14ac:dyDescent="0.3">
      <c r="G307" s="8"/>
      <c r="H307" s="8"/>
    </row>
    <row r="308" spans="7:8" x14ac:dyDescent="0.3">
      <c r="G308" s="8"/>
      <c r="H308" s="8"/>
    </row>
    <row r="309" spans="7:8" x14ac:dyDescent="0.3">
      <c r="G309" s="8"/>
      <c r="H309" s="8"/>
    </row>
    <row r="310" spans="7:8" x14ac:dyDescent="0.3">
      <c r="G310" s="8"/>
      <c r="H310" s="8"/>
    </row>
    <row r="311" spans="7:8" x14ac:dyDescent="0.3">
      <c r="G311" s="8"/>
      <c r="H311" s="8"/>
    </row>
    <row r="312" spans="7:8" x14ac:dyDescent="0.3">
      <c r="G312" s="8"/>
      <c r="H312" s="8"/>
    </row>
    <row r="313" spans="7:8" x14ac:dyDescent="0.3">
      <c r="G313" s="8"/>
      <c r="H313" s="8"/>
    </row>
    <row r="314" spans="7:8" x14ac:dyDescent="0.3">
      <c r="G314" s="8"/>
      <c r="H314" s="8"/>
    </row>
    <row r="315" spans="7:8" x14ac:dyDescent="0.3">
      <c r="G315" s="8"/>
      <c r="H315" s="8"/>
    </row>
    <row r="316" spans="7:8" x14ac:dyDescent="0.3">
      <c r="G316" s="8"/>
      <c r="H316" s="8"/>
    </row>
    <row r="317" spans="7:8" x14ac:dyDescent="0.3">
      <c r="G317" s="8"/>
      <c r="H317" s="8"/>
    </row>
    <row r="318" spans="7:8" x14ac:dyDescent="0.3">
      <c r="G318" s="8"/>
      <c r="H318" s="8"/>
    </row>
    <row r="319" spans="7:8" x14ac:dyDescent="0.3">
      <c r="G319" s="8"/>
      <c r="H319" s="8"/>
    </row>
    <row r="320" spans="7:8" x14ac:dyDescent="0.3">
      <c r="G320" s="8"/>
      <c r="H320" s="8"/>
    </row>
    <row r="321" spans="7:8" x14ac:dyDescent="0.3">
      <c r="G321" s="8"/>
      <c r="H321" s="8"/>
    </row>
    <row r="322" spans="7:8" x14ac:dyDescent="0.3">
      <c r="G322" s="8"/>
      <c r="H322" s="8"/>
    </row>
    <row r="323" spans="7:8" x14ac:dyDescent="0.3">
      <c r="G323" s="8"/>
      <c r="H323" s="8"/>
    </row>
    <row r="324" spans="7:8" x14ac:dyDescent="0.3">
      <c r="G324" s="8"/>
      <c r="H324" s="8"/>
    </row>
    <row r="325" spans="7:8" x14ac:dyDescent="0.3">
      <c r="G325" s="8"/>
      <c r="H325" s="8"/>
    </row>
    <row r="326" spans="7:8" x14ac:dyDescent="0.3">
      <c r="G326" s="8"/>
      <c r="H326" s="8"/>
    </row>
    <row r="327" spans="7:8" x14ac:dyDescent="0.3">
      <c r="G327" s="8"/>
      <c r="H327" s="8"/>
    </row>
    <row r="328" spans="7:8" x14ac:dyDescent="0.3">
      <c r="G328" s="8"/>
      <c r="H328" s="8"/>
    </row>
    <row r="329" spans="7:8" x14ac:dyDescent="0.3">
      <c r="G329" s="8"/>
      <c r="H329" s="8"/>
    </row>
    <row r="330" spans="7:8" x14ac:dyDescent="0.3">
      <c r="G330" s="8"/>
      <c r="H330" s="8"/>
    </row>
    <row r="331" spans="7:8" x14ac:dyDescent="0.3">
      <c r="G331" s="8"/>
      <c r="H331" s="8"/>
    </row>
    <row r="332" spans="7:8" x14ac:dyDescent="0.3">
      <c r="G332" s="8"/>
      <c r="H332" s="8"/>
    </row>
    <row r="333" spans="7:8" x14ac:dyDescent="0.3">
      <c r="G333" s="8"/>
      <c r="H333" s="8"/>
    </row>
    <row r="334" spans="7:8" x14ac:dyDescent="0.3">
      <c r="G334" s="8"/>
      <c r="H334" s="8"/>
    </row>
    <row r="335" spans="7:8" x14ac:dyDescent="0.3">
      <c r="G335" s="8"/>
      <c r="H335" s="8"/>
    </row>
    <row r="336" spans="7:8" x14ac:dyDescent="0.3">
      <c r="G336" s="8"/>
      <c r="H336" s="8"/>
    </row>
    <row r="337" spans="7:8" x14ac:dyDescent="0.3">
      <c r="G337" s="8"/>
      <c r="H337" s="8"/>
    </row>
    <row r="338" spans="7:8" x14ac:dyDescent="0.3">
      <c r="G338" s="8"/>
      <c r="H338" s="8"/>
    </row>
    <row r="339" spans="7:8" x14ac:dyDescent="0.3">
      <c r="G339" s="8"/>
      <c r="H339" s="8"/>
    </row>
    <row r="340" spans="7:8" x14ac:dyDescent="0.3">
      <c r="G340" s="8"/>
      <c r="H340" s="8"/>
    </row>
    <row r="341" spans="7:8" x14ac:dyDescent="0.3">
      <c r="G341" s="8"/>
      <c r="H341" s="8"/>
    </row>
    <row r="342" spans="7:8" x14ac:dyDescent="0.3">
      <c r="G342" s="8"/>
      <c r="H342" s="8"/>
    </row>
    <row r="343" spans="7:8" x14ac:dyDescent="0.3">
      <c r="G343" s="8"/>
      <c r="H343" s="8"/>
    </row>
    <row r="344" spans="7:8" x14ac:dyDescent="0.3">
      <c r="G344" s="8"/>
      <c r="H344" s="8"/>
    </row>
    <row r="345" spans="7:8" x14ac:dyDescent="0.3">
      <c r="G345" s="8"/>
      <c r="H345" s="8"/>
    </row>
    <row r="346" spans="7:8" x14ac:dyDescent="0.3">
      <c r="G346" s="8"/>
      <c r="H346" s="8"/>
    </row>
    <row r="347" spans="7:8" x14ac:dyDescent="0.3">
      <c r="G347" s="8"/>
      <c r="H347" s="8"/>
    </row>
    <row r="348" spans="7:8" x14ac:dyDescent="0.3">
      <c r="G348" s="8"/>
      <c r="H348" s="8"/>
    </row>
    <row r="349" spans="7:8" x14ac:dyDescent="0.3">
      <c r="G349" s="8"/>
      <c r="H349" s="8"/>
    </row>
    <row r="350" spans="7:8" x14ac:dyDescent="0.3">
      <c r="G350" s="8"/>
      <c r="H350" s="8"/>
    </row>
    <row r="351" spans="7:8" x14ac:dyDescent="0.3">
      <c r="G351" s="8"/>
      <c r="H351" s="8"/>
    </row>
    <row r="352" spans="7:8" x14ac:dyDescent="0.3">
      <c r="G352" s="8"/>
      <c r="H352" s="8"/>
    </row>
    <row r="353" spans="7:8" x14ac:dyDescent="0.3">
      <c r="G353" s="8"/>
      <c r="H353" s="8"/>
    </row>
    <row r="354" spans="7:8" x14ac:dyDescent="0.3">
      <c r="G354" s="8"/>
      <c r="H354" s="8"/>
    </row>
    <row r="355" spans="7:8" x14ac:dyDescent="0.3">
      <c r="G355" s="8"/>
      <c r="H355" s="8"/>
    </row>
    <row r="356" spans="7:8" x14ac:dyDescent="0.3">
      <c r="G356" s="8"/>
      <c r="H356" s="8"/>
    </row>
    <row r="357" spans="7:8" x14ac:dyDescent="0.3">
      <c r="G357" s="8"/>
      <c r="H357" s="8"/>
    </row>
    <row r="358" spans="7:8" x14ac:dyDescent="0.3">
      <c r="G358" s="8"/>
      <c r="H358" s="8"/>
    </row>
    <row r="359" spans="7:8" x14ac:dyDescent="0.3">
      <c r="G359" s="8"/>
      <c r="H359" s="8"/>
    </row>
    <row r="360" spans="7:8" x14ac:dyDescent="0.3">
      <c r="G360" s="8"/>
      <c r="H360" s="8"/>
    </row>
    <row r="361" spans="7:8" x14ac:dyDescent="0.3">
      <c r="G361" s="8"/>
      <c r="H361" s="8"/>
    </row>
    <row r="362" spans="7:8" x14ac:dyDescent="0.3">
      <c r="G362" s="8"/>
      <c r="H362" s="8"/>
    </row>
    <row r="363" spans="7:8" x14ac:dyDescent="0.3">
      <c r="G363" s="8"/>
      <c r="H363" s="8"/>
    </row>
    <row r="364" spans="7:8" x14ac:dyDescent="0.3">
      <c r="G364" s="8"/>
      <c r="H364" s="8"/>
    </row>
    <row r="365" spans="7:8" x14ac:dyDescent="0.3">
      <c r="G365" s="8"/>
      <c r="H365" s="8"/>
    </row>
    <row r="366" spans="7:8" x14ac:dyDescent="0.3">
      <c r="G366" s="8"/>
      <c r="H366" s="8"/>
    </row>
    <row r="367" spans="7:8" x14ac:dyDescent="0.3">
      <c r="G367" s="8"/>
      <c r="H367" s="8"/>
    </row>
    <row r="368" spans="7:8" x14ac:dyDescent="0.3">
      <c r="G368" s="8"/>
      <c r="H368" s="8"/>
    </row>
    <row r="369" spans="7:8" x14ac:dyDescent="0.3">
      <c r="G369" s="8"/>
      <c r="H369" s="8"/>
    </row>
    <row r="370" spans="7:8" x14ac:dyDescent="0.3">
      <c r="G370" s="8"/>
      <c r="H370" s="8"/>
    </row>
    <row r="371" spans="7:8" x14ac:dyDescent="0.3">
      <c r="G371" s="8"/>
      <c r="H371" s="8"/>
    </row>
    <row r="372" spans="7:8" x14ac:dyDescent="0.3">
      <c r="G372" s="8"/>
      <c r="H372" s="8"/>
    </row>
    <row r="373" spans="7:8" x14ac:dyDescent="0.3">
      <c r="G373" s="8"/>
      <c r="H373" s="8"/>
    </row>
    <row r="374" spans="7:8" x14ac:dyDescent="0.3">
      <c r="G374" s="8"/>
      <c r="H374" s="8"/>
    </row>
    <row r="375" spans="7:8" x14ac:dyDescent="0.3">
      <c r="G375" s="8"/>
      <c r="H375" s="8"/>
    </row>
    <row r="376" spans="7:8" x14ac:dyDescent="0.3">
      <c r="G376" s="8"/>
      <c r="H376" s="8"/>
    </row>
    <row r="377" spans="7:8" x14ac:dyDescent="0.3">
      <c r="G377" s="8"/>
      <c r="H377" s="8"/>
    </row>
    <row r="378" spans="7:8" x14ac:dyDescent="0.3">
      <c r="G378" s="8"/>
      <c r="H378" s="8"/>
    </row>
    <row r="379" spans="7:8" x14ac:dyDescent="0.3">
      <c r="G379" s="8"/>
      <c r="H379" s="8"/>
    </row>
    <row r="380" spans="7:8" x14ac:dyDescent="0.3">
      <c r="G380" s="8"/>
      <c r="H380" s="8"/>
    </row>
    <row r="381" spans="7:8" x14ac:dyDescent="0.3">
      <c r="G381" s="8"/>
      <c r="H381" s="8"/>
    </row>
    <row r="382" spans="7:8" x14ac:dyDescent="0.3">
      <c r="G382" s="8"/>
      <c r="H382" s="8"/>
    </row>
    <row r="383" spans="7:8" x14ac:dyDescent="0.3">
      <c r="G383" s="8"/>
      <c r="H383" s="8"/>
    </row>
    <row r="384" spans="7:8" x14ac:dyDescent="0.3">
      <c r="G384" s="8"/>
      <c r="H384" s="8"/>
    </row>
    <row r="385" spans="7:8" x14ac:dyDescent="0.3">
      <c r="G385" s="8"/>
      <c r="H385" s="8"/>
    </row>
    <row r="386" spans="7:8" x14ac:dyDescent="0.3">
      <c r="G386" s="8"/>
      <c r="H386" s="8"/>
    </row>
    <row r="387" spans="7:8" x14ac:dyDescent="0.3">
      <c r="G387" s="8"/>
      <c r="H387" s="8"/>
    </row>
    <row r="388" spans="7:8" x14ac:dyDescent="0.3">
      <c r="G388" s="8"/>
      <c r="H388" s="8"/>
    </row>
    <row r="389" spans="7:8" x14ac:dyDescent="0.3">
      <c r="G389" s="8"/>
      <c r="H389" s="8"/>
    </row>
    <row r="390" spans="7:8" x14ac:dyDescent="0.3">
      <c r="G390" s="8"/>
      <c r="H390" s="8"/>
    </row>
    <row r="391" spans="7:8" x14ac:dyDescent="0.3">
      <c r="G391" s="8"/>
      <c r="H391" s="8"/>
    </row>
    <row r="392" spans="7:8" x14ac:dyDescent="0.3">
      <c r="G392" s="8"/>
      <c r="H392" s="8"/>
    </row>
    <row r="393" spans="7:8" x14ac:dyDescent="0.3">
      <c r="G393" s="8"/>
      <c r="H393" s="8"/>
    </row>
    <row r="394" spans="7:8" x14ac:dyDescent="0.3">
      <c r="G394" s="8"/>
      <c r="H394" s="8"/>
    </row>
    <row r="395" spans="7:8" x14ac:dyDescent="0.3">
      <c r="G395" s="8"/>
      <c r="H395" s="8"/>
    </row>
    <row r="396" spans="7:8" x14ac:dyDescent="0.3">
      <c r="G396" s="8"/>
      <c r="H396" s="8"/>
    </row>
    <row r="397" spans="7:8" x14ac:dyDescent="0.3">
      <c r="G397" s="8"/>
      <c r="H397" s="8"/>
    </row>
    <row r="398" spans="7:8" x14ac:dyDescent="0.3">
      <c r="G398" s="8"/>
      <c r="H398" s="8"/>
    </row>
    <row r="399" spans="7:8" x14ac:dyDescent="0.3">
      <c r="G399" s="8"/>
      <c r="H399" s="8"/>
    </row>
    <row r="400" spans="7:8" x14ac:dyDescent="0.3">
      <c r="G400" s="8"/>
      <c r="H400" s="8"/>
    </row>
    <row r="401" spans="7:8" x14ac:dyDescent="0.3">
      <c r="G401" s="8"/>
      <c r="H401" s="8"/>
    </row>
    <row r="402" spans="7:8" x14ac:dyDescent="0.3">
      <c r="G402" s="8"/>
      <c r="H402" s="8"/>
    </row>
    <row r="403" spans="7:8" x14ac:dyDescent="0.3">
      <c r="G403" s="8"/>
      <c r="H403" s="8"/>
    </row>
    <row r="404" spans="7:8" x14ac:dyDescent="0.3">
      <c r="G404" s="8"/>
      <c r="H404" s="8"/>
    </row>
    <row r="405" spans="7:8" x14ac:dyDescent="0.3">
      <c r="G405" s="8"/>
      <c r="H405" s="8"/>
    </row>
    <row r="406" spans="7:8" x14ac:dyDescent="0.3">
      <c r="G406" s="8"/>
      <c r="H406" s="8"/>
    </row>
    <row r="407" spans="7:8" x14ac:dyDescent="0.3">
      <c r="G407" s="8"/>
      <c r="H407" s="8"/>
    </row>
    <row r="408" spans="7:8" x14ac:dyDescent="0.3">
      <c r="G408" s="8"/>
      <c r="H408" s="8"/>
    </row>
    <row r="409" spans="7:8" x14ac:dyDescent="0.3">
      <c r="G409" s="8"/>
      <c r="H409" s="8"/>
    </row>
    <row r="410" spans="7:8" x14ac:dyDescent="0.3">
      <c r="G410" s="8"/>
      <c r="H410" s="8"/>
    </row>
    <row r="411" spans="7:8" x14ac:dyDescent="0.3">
      <c r="G411" s="8"/>
      <c r="H411" s="8"/>
    </row>
    <row r="412" spans="7:8" x14ac:dyDescent="0.3">
      <c r="G412" s="8"/>
      <c r="H412" s="8"/>
    </row>
    <row r="413" spans="7:8" x14ac:dyDescent="0.3">
      <c r="G413" s="8"/>
      <c r="H413" s="8"/>
    </row>
    <row r="414" spans="7:8" x14ac:dyDescent="0.3">
      <c r="G414" s="8"/>
      <c r="H414" s="8"/>
    </row>
    <row r="415" spans="7:8" x14ac:dyDescent="0.3">
      <c r="G415" s="8"/>
      <c r="H415" s="8"/>
    </row>
    <row r="416" spans="7:8" x14ac:dyDescent="0.3">
      <c r="G416" s="8"/>
      <c r="H416" s="8"/>
    </row>
    <row r="417" spans="7:8" x14ac:dyDescent="0.3">
      <c r="G417" s="8"/>
      <c r="H417" s="8"/>
    </row>
    <row r="418" spans="7:8" x14ac:dyDescent="0.3">
      <c r="G418" s="8"/>
      <c r="H418" s="8"/>
    </row>
    <row r="419" spans="7:8" x14ac:dyDescent="0.3">
      <c r="G419" s="8"/>
      <c r="H419" s="8"/>
    </row>
    <row r="420" spans="7:8" x14ac:dyDescent="0.3">
      <c r="G420" s="8"/>
      <c r="H420" s="8"/>
    </row>
    <row r="421" spans="7:8" x14ac:dyDescent="0.3">
      <c r="G421" s="8"/>
      <c r="H421" s="8"/>
    </row>
    <row r="422" spans="7:8" x14ac:dyDescent="0.3">
      <c r="G422" s="8"/>
      <c r="H422" s="8"/>
    </row>
    <row r="423" spans="7:8" x14ac:dyDescent="0.3">
      <c r="G423" s="8"/>
      <c r="H423" s="8"/>
    </row>
    <row r="424" spans="7:8" x14ac:dyDescent="0.3">
      <c r="G424" s="8"/>
      <c r="H424" s="8"/>
    </row>
    <row r="425" spans="7:8" x14ac:dyDescent="0.3">
      <c r="G425" s="8"/>
      <c r="H425" s="8"/>
    </row>
    <row r="426" spans="7:8" x14ac:dyDescent="0.3">
      <c r="G426" s="8"/>
      <c r="H426" s="8"/>
    </row>
    <row r="427" spans="7:8" x14ac:dyDescent="0.3">
      <c r="G427" s="8"/>
      <c r="H427" s="8"/>
    </row>
    <row r="428" spans="7:8" x14ac:dyDescent="0.3">
      <c r="G428" s="8"/>
      <c r="H428" s="8"/>
    </row>
    <row r="429" spans="7:8" x14ac:dyDescent="0.3">
      <c r="G429" s="8"/>
      <c r="H429" s="8"/>
    </row>
    <row r="430" spans="7:8" x14ac:dyDescent="0.3">
      <c r="G430" s="8"/>
      <c r="H430" s="8"/>
    </row>
    <row r="431" spans="7:8" x14ac:dyDescent="0.3">
      <c r="G431" s="8"/>
      <c r="H431" s="8"/>
    </row>
    <row r="432" spans="7:8" x14ac:dyDescent="0.3">
      <c r="G432" s="8"/>
      <c r="H432" s="8"/>
    </row>
    <row r="433" spans="7:8" x14ac:dyDescent="0.3">
      <c r="G433" s="8"/>
      <c r="H433" s="8"/>
    </row>
    <row r="434" spans="7:8" x14ac:dyDescent="0.3">
      <c r="G434" s="8"/>
      <c r="H434" s="8"/>
    </row>
    <row r="435" spans="7:8" x14ac:dyDescent="0.3">
      <c r="G435" s="8"/>
      <c r="H435" s="8"/>
    </row>
    <row r="436" spans="7:8" x14ac:dyDescent="0.3">
      <c r="G436" s="8"/>
      <c r="H436" s="8"/>
    </row>
    <row r="437" spans="7:8" x14ac:dyDescent="0.3">
      <c r="G437" s="8"/>
      <c r="H437" s="8"/>
    </row>
    <row r="438" spans="7:8" x14ac:dyDescent="0.3">
      <c r="G438" s="8"/>
      <c r="H438" s="8"/>
    </row>
    <row r="439" spans="7:8" x14ac:dyDescent="0.3">
      <c r="G439" s="8"/>
      <c r="H439" s="8"/>
    </row>
    <row r="440" spans="7:8" x14ac:dyDescent="0.3">
      <c r="G440" s="8"/>
      <c r="H440" s="8"/>
    </row>
    <row r="441" spans="7:8" x14ac:dyDescent="0.3">
      <c r="G441" s="8"/>
      <c r="H441" s="8"/>
    </row>
    <row r="442" spans="7:8" x14ac:dyDescent="0.3">
      <c r="G442" s="8"/>
      <c r="H442" s="8"/>
    </row>
    <row r="443" spans="7:8" x14ac:dyDescent="0.3">
      <c r="G443" s="8"/>
      <c r="H443" s="8"/>
    </row>
    <row r="444" spans="7:8" x14ac:dyDescent="0.3">
      <c r="G444" s="8"/>
      <c r="H444" s="8"/>
    </row>
    <row r="445" spans="7:8" x14ac:dyDescent="0.3">
      <c r="G445" s="8"/>
      <c r="H445" s="8"/>
    </row>
    <row r="446" spans="7:8" x14ac:dyDescent="0.3">
      <c r="G446" s="8"/>
      <c r="H446" s="8"/>
    </row>
    <row r="447" spans="7:8" x14ac:dyDescent="0.3">
      <c r="G447" s="8"/>
      <c r="H447" s="8"/>
    </row>
    <row r="448" spans="7:8" x14ac:dyDescent="0.3">
      <c r="G448" s="8"/>
      <c r="H448" s="8"/>
    </row>
    <row r="449" spans="7:8" x14ac:dyDescent="0.3">
      <c r="G449" s="8"/>
      <c r="H449" s="8"/>
    </row>
    <row r="450" spans="7:8" x14ac:dyDescent="0.3">
      <c r="G450" s="8"/>
      <c r="H450" s="8"/>
    </row>
    <row r="451" spans="7:8" x14ac:dyDescent="0.3">
      <c r="G451" s="8"/>
      <c r="H451" s="8"/>
    </row>
    <row r="452" spans="7:8" x14ac:dyDescent="0.3">
      <c r="G452" s="8"/>
      <c r="H452" s="8"/>
    </row>
    <row r="453" spans="7:8" x14ac:dyDescent="0.3">
      <c r="G453" s="8"/>
      <c r="H453" s="8"/>
    </row>
    <row r="454" spans="7:8" x14ac:dyDescent="0.3">
      <c r="G454" s="8"/>
      <c r="H454" s="8"/>
    </row>
    <row r="455" spans="7:8" x14ac:dyDescent="0.3">
      <c r="G455" s="8"/>
      <c r="H455" s="8"/>
    </row>
    <row r="456" spans="7:8" x14ac:dyDescent="0.3">
      <c r="G456" s="8"/>
      <c r="H456" s="8"/>
    </row>
    <row r="457" spans="7:8" x14ac:dyDescent="0.3">
      <c r="G457" s="8"/>
      <c r="H457" s="8"/>
    </row>
    <row r="458" spans="7:8" x14ac:dyDescent="0.3">
      <c r="G458" s="8"/>
      <c r="H458" s="8"/>
    </row>
    <row r="459" spans="7:8" x14ac:dyDescent="0.3">
      <c r="G459" s="8"/>
      <c r="H459" s="8"/>
    </row>
    <row r="460" spans="7:8" x14ac:dyDescent="0.3">
      <c r="G460" s="8"/>
      <c r="H460" s="8"/>
    </row>
    <row r="461" spans="7:8" x14ac:dyDescent="0.3">
      <c r="G461" s="8"/>
      <c r="H461" s="8"/>
    </row>
    <row r="462" spans="7:8" x14ac:dyDescent="0.3">
      <c r="G462" s="8"/>
      <c r="H462" s="8"/>
    </row>
    <row r="463" spans="7:8" x14ac:dyDescent="0.3">
      <c r="G463" s="8"/>
      <c r="H463" s="8"/>
    </row>
    <row r="464" spans="7:8" x14ac:dyDescent="0.3">
      <c r="G464" s="8"/>
      <c r="H464" s="8"/>
    </row>
    <row r="465" spans="7:8" x14ac:dyDescent="0.3">
      <c r="G465" s="8"/>
      <c r="H465" s="8"/>
    </row>
    <row r="466" spans="7:8" x14ac:dyDescent="0.3">
      <c r="G466" s="8"/>
      <c r="H466" s="8"/>
    </row>
    <row r="467" spans="7:8" x14ac:dyDescent="0.3">
      <c r="G467" s="8"/>
      <c r="H467" s="8"/>
    </row>
    <row r="468" spans="7:8" x14ac:dyDescent="0.3">
      <c r="G468" s="8"/>
      <c r="H468" s="8"/>
    </row>
    <row r="469" spans="7:8" x14ac:dyDescent="0.3">
      <c r="G469" s="8"/>
      <c r="H469" s="8"/>
    </row>
    <row r="470" spans="7:8" x14ac:dyDescent="0.3">
      <c r="G470" s="8"/>
      <c r="H470" s="8"/>
    </row>
    <row r="471" spans="7:8" x14ac:dyDescent="0.3">
      <c r="G471" s="8"/>
      <c r="H471" s="8"/>
    </row>
    <row r="472" spans="7:8" x14ac:dyDescent="0.3">
      <c r="G472" s="8"/>
      <c r="H472" s="8"/>
    </row>
    <row r="473" spans="7:8" x14ac:dyDescent="0.3">
      <c r="G473" s="8"/>
      <c r="H473" s="8"/>
    </row>
    <row r="474" spans="7:8" x14ac:dyDescent="0.3">
      <c r="G474" s="8"/>
      <c r="H474" s="8"/>
    </row>
    <row r="475" spans="7:8" x14ac:dyDescent="0.3">
      <c r="G475" s="8"/>
      <c r="H475" s="8"/>
    </row>
    <row r="476" spans="7:8" x14ac:dyDescent="0.3">
      <c r="G476" s="8"/>
      <c r="H476" s="8"/>
    </row>
    <row r="477" spans="7:8" x14ac:dyDescent="0.3">
      <c r="G477" s="8"/>
      <c r="H477" s="8"/>
    </row>
    <row r="478" spans="7:8" x14ac:dyDescent="0.3">
      <c r="G478" s="8"/>
      <c r="H478" s="8"/>
    </row>
    <row r="479" spans="7:8" x14ac:dyDescent="0.3">
      <c r="G479" s="8"/>
      <c r="H479" s="8"/>
    </row>
    <row r="480" spans="7:8" x14ac:dyDescent="0.3">
      <c r="G480" s="8"/>
      <c r="H480" s="8"/>
    </row>
    <row r="481" spans="7:8" x14ac:dyDescent="0.3">
      <c r="G481" s="8"/>
      <c r="H481" s="8"/>
    </row>
    <row r="482" spans="7:8" x14ac:dyDescent="0.3">
      <c r="G482" s="8"/>
      <c r="H482" s="8"/>
    </row>
    <row r="483" spans="7:8" x14ac:dyDescent="0.3">
      <c r="G483" s="8"/>
      <c r="H483" s="8"/>
    </row>
    <row r="484" spans="7:8" x14ac:dyDescent="0.3">
      <c r="G484" s="8"/>
      <c r="H484" s="8"/>
    </row>
    <row r="485" spans="7:8" x14ac:dyDescent="0.3">
      <c r="G485" s="8"/>
      <c r="H485" s="8"/>
    </row>
    <row r="486" spans="7:8" x14ac:dyDescent="0.3">
      <c r="G486" s="8"/>
      <c r="H486" s="8"/>
    </row>
    <row r="487" spans="7:8" x14ac:dyDescent="0.3">
      <c r="G487" s="8"/>
      <c r="H487" s="8"/>
    </row>
    <row r="488" spans="7:8" x14ac:dyDescent="0.3">
      <c r="G488" s="8"/>
      <c r="H488" s="8"/>
    </row>
    <row r="489" spans="7:8" x14ac:dyDescent="0.3">
      <c r="G489" s="8"/>
      <c r="H489" s="8"/>
    </row>
    <row r="490" spans="7:8" x14ac:dyDescent="0.3">
      <c r="G490" s="8"/>
      <c r="H490" s="8"/>
    </row>
    <row r="491" spans="7:8" x14ac:dyDescent="0.3">
      <c r="G491" s="8"/>
      <c r="H491" s="8"/>
    </row>
    <row r="492" spans="7:8" x14ac:dyDescent="0.3">
      <c r="G492" s="8"/>
      <c r="H492" s="8"/>
    </row>
    <row r="493" spans="7:8" x14ac:dyDescent="0.3">
      <c r="G493" s="8"/>
      <c r="H493" s="8"/>
    </row>
    <row r="494" spans="7:8" x14ac:dyDescent="0.3">
      <c r="G494" s="8"/>
      <c r="H494" s="8"/>
    </row>
    <row r="495" spans="7:8" x14ac:dyDescent="0.3">
      <c r="G495" s="8"/>
      <c r="H495" s="8"/>
    </row>
    <row r="496" spans="7:8" x14ac:dyDescent="0.3">
      <c r="G496" s="8"/>
      <c r="H496" s="8"/>
    </row>
    <row r="497" spans="7:8" x14ac:dyDescent="0.3">
      <c r="G497" s="8"/>
      <c r="H497" s="8"/>
    </row>
    <row r="498" spans="7:8" x14ac:dyDescent="0.3">
      <c r="G498" s="8"/>
      <c r="H498" s="8"/>
    </row>
    <row r="499" spans="7:8" x14ac:dyDescent="0.3">
      <c r="G499" s="8"/>
      <c r="H499" s="8"/>
    </row>
    <row r="500" spans="7:8" x14ac:dyDescent="0.3">
      <c r="G500" s="8"/>
      <c r="H500" s="8"/>
    </row>
    <row r="501" spans="7:8" x14ac:dyDescent="0.3">
      <c r="G501" s="8"/>
      <c r="H501" s="8"/>
    </row>
    <row r="502" spans="7:8" x14ac:dyDescent="0.3">
      <c r="G502" s="8"/>
      <c r="H502" s="8"/>
    </row>
    <row r="503" spans="7:8" x14ac:dyDescent="0.3">
      <c r="G503" s="8"/>
      <c r="H503" s="8"/>
    </row>
    <row r="504" spans="7:8" x14ac:dyDescent="0.3">
      <c r="G504" s="8"/>
      <c r="H504" s="8"/>
    </row>
    <row r="505" spans="7:8" x14ac:dyDescent="0.3">
      <c r="G505" s="8"/>
      <c r="H505" s="8"/>
    </row>
    <row r="506" spans="7:8" x14ac:dyDescent="0.3">
      <c r="G506" s="8"/>
      <c r="H506" s="8"/>
    </row>
    <row r="507" spans="7:8" x14ac:dyDescent="0.3">
      <c r="G507" s="8"/>
      <c r="H507" s="8"/>
    </row>
    <row r="508" spans="7:8" x14ac:dyDescent="0.3">
      <c r="G508" s="8"/>
      <c r="H508" s="8"/>
    </row>
    <row r="509" spans="7:8" x14ac:dyDescent="0.3">
      <c r="G509" s="8"/>
      <c r="H509" s="8"/>
    </row>
    <row r="510" spans="7:8" x14ac:dyDescent="0.3">
      <c r="G510" s="8"/>
      <c r="H510" s="8"/>
    </row>
    <row r="511" spans="7:8" x14ac:dyDescent="0.3">
      <c r="G511" s="8"/>
      <c r="H511" s="8"/>
    </row>
    <row r="512" spans="7:8" x14ac:dyDescent="0.3">
      <c r="G512" s="8"/>
      <c r="H512" s="8"/>
    </row>
    <row r="513" spans="7:8" x14ac:dyDescent="0.3">
      <c r="G513" s="8"/>
      <c r="H513" s="8"/>
    </row>
    <row r="514" spans="7:8" x14ac:dyDescent="0.3">
      <c r="G514" s="8"/>
      <c r="H514" s="8"/>
    </row>
    <row r="515" spans="7:8" x14ac:dyDescent="0.3">
      <c r="G515" s="8"/>
      <c r="H515" s="8"/>
    </row>
    <row r="516" spans="7:8" x14ac:dyDescent="0.3">
      <c r="G516" s="8"/>
      <c r="H516" s="8"/>
    </row>
    <row r="517" spans="7:8" x14ac:dyDescent="0.3">
      <c r="G517" s="8"/>
      <c r="H517" s="8"/>
    </row>
    <row r="518" spans="7:8" x14ac:dyDescent="0.3">
      <c r="G518" s="8"/>
      <c r="H518" s="8"/>
    </row>
    <row r="519" spans="7:8" x14ac:dyDescent="0.3">
      <c r="G519" s="8"/>
      <c r="H519" s="8"/>
    </row>
    <row r="520" spans="7:8" x14ac:dyDescent="0.3">
      <c r="G520" s="8"/>
      <c r="H520" s="8"/>
    </row>
    <row r="521" spans="7:8" x14ac:dyDescent="0.3">
      <c r="G521" s="8"/>
      <c r="H521" s="8"/>
    </row>
    <row r="522" spans="7:8" x14ac:dyDescent="0.3">
      <c r="G522" s="8"/>
      <c r="H522" s="8"/>
    </row>
    <row r="523" spans="7:8" x14ac:dyDescent="0.3">
      <c r="G523" s="8"/>
      <c r="H523" s="8"/>
    </row>
    <row r="524" spans="7:8" x14ac:dyDescent="0.3">
      <c r="G524" s="8"/>
      <c r="H524" s="8"/>
    </row>
    <row r="525" spans="7:8" x14ac:dyDescent="0.3">
      <c r="G525" s="8"/>
      <c r="H525" s="8"/>
    </row>
    <row r="526" spans="7:8" x14ac:dyDescent="0.3">
      <c r="G526" s="8"/>
      <c r="H526" s="8"/>
    </row>
    <row r="527" spans="7:8" x14ac:dyDescent="0.3">
      <c r="G527" s="8"/>
      <c r="H527" s="8"/>
    </row>
    <row r="528" spans="7:8" x14ac:dyDescent="0.3">
      <c r="G528" s="8"/>
      <c r="H528" s="8"/>
    </row>
    <row r="529" spans="7:8" x14ac:dyDescent="0.3">
      <c r="G529" s="8"/>
      <c r="H529" s="8"/>
    </row>
    <row r="530" spans="7:8" x14ac:dyDescent="0.3">
      <c r="G530" s="8"/>
      <c r="H530" s="8"/>
    </row>
    <row r="531" spans="7:8" x14ac:dyDescent="0.3">
      <c r="G531" s="8"/>
      <c r="H531" s="8"/>
    </row>
    <row r="532" spans="7:8" x14ac:dyDescent="0.3">
      <c r="G532" s="8"/>
      <c r="H532" s="8"/>
    </row>
    <row r="533" spans="7:8" x14ac:dyDescent="0.3">
      <c r="G533" s="8"/>
      <c r="H533" s="8"/>
    </row>
    <row r="534" spans="7:8" x14ac:dyDescent="0.3">
      <c r="G534" s="8"/>
      <c r="H534" s="8"/>
    </row>
    <row r="535" spans="7:8" x14ac:dyDescent="0.3">
      <c r="G535" s="8"/>
      <c r="H535" s="8"/>
    </row>
    <row r="536" spans="7:8" x14ac:dyDescent="0.3">
      <c r="G536" s="8"/>
      <c r="H536" s="8"/>
    </row>
    <row r="537" spans="7:8" x14ac:dyDescent="0.3">
      <c r="G537" s="8"/>
      <c r="H537" s="8"/>
    </row>
    <row r="538" spans="7:8" x14ac:dyDescent="0.3">
      <c r="G538" s="8"/>
      <c r="H538" s="8"/>
    </row>
    <row r="539" spans="7:8" x14ac:dyDescent="0.3">
      <c r="G539" s="8"/>
      <c r="H539" s="8"/>
    </row>
    <row r="540" spans="7:8" x14ac:dyDescent="0.3">
      <c r="G540" s="8"/>
      <c r="H540" s="8"/>
    </row>
    <row r="541" spans="7:8" x14ac:dyDescent="0.3">
      <c r="G541" s="8"/>
      <c r="H541" s="8"/>
    </row>
    <row r="542" spans="7:8" x14ac:dyDescent="0.3">
      <c r="G542" s="8"/>
      <c r="H542" s="8"/>
    </row>
    <row r="543" spans="7:8" x14ac:dyDescent="0.3">
      <c r="G543" s="8"/>
      <c r="H543" s="8"/>
    </row>
    <row r="544" spans="7:8" x14ac:dyDescent="0.3">
      <c r="G544" s="8"/>
      <c r="H544" s="8"/>
    </row>
    <row r="545" spans="7:8" x14ac:dyDescent="0.3">
      <c r="G545" s="8"/>
      <c r="H545" s="8"/>
    </row>
    <row r="546" spans="7:8" x14ac:dyDescent="0.3">
      <c r="G546" s="8"/>
      <c r="H546" s="8"/>
    </row>
    <row r="547" spans="7:8" x14ac:dyDescent="0.3">
      <c r="G547" s="8"/>
      <c r="H547" s="8"/>
    </row>
    <row r="548" spans="7:8" x14ac:dyDescent="0.3">
      <c r="G548" s="8"/>
      <c r="H548" s="8"/>
    </row>
    <row r="549" spans="7:8" x14ac:dyDescent="0.3">
      <c r="G549" s="8"/>
      <c r="H549" s="8"/>
    </row>
    <row r="550" spans="7:8" x14ac:dyDescent="0.3">
      <c r="G550" s="8"/>
      <c r="H550" s="8"/>
    </row>
    <row r="551" spans="7:8" x14ac:dyDescent="0.3">
      <c r="G551" s="8"/>
      <c r="H551" s="8"/>
    </row>
    <row r="552" spans="7:8" x14ac:dyDescent="0.3">
      <c r="G552" s="8"/>
      <c r="H552" s="8"/>
    </row>
    <row r="553" spans="7:8" x14ac:dyDescent="0.3">
      <c r="G553" s="8"/>
      <c r="H553" s="8"/>
    </row>
    <row r="554" spans="7:8" x14ac:dyDescent="0.3">
      <c r="G554" s="8"/>
      <c r="H554" s="8"/>
    </row>
    <row r="555" spans="7:8" x14ac:dyDescent="0.3">
      <c r="G555" s="8"/>
      <c r="H555" s="8"/>
    </row>
    <row r="556" spans="7:8" x14ac:dyDescent="0.3">
      <c r="G556" s="8"/>
      <c r="H556" s="8"/>
    </row>
    <row r="557" spans="7:8" x14ac:dyDescent="0.3">
      <c r="G557" s="8"/>
      <c r="H557" s="8"/>
    </row>
    <row r="558" spans="7:8" x14ac:dyDescent="0.3">
      <c r="G558" s="8"/>
      <c r="H558" s="8"/>
    </row>
    <row r="559" spans="7:8" x14ac:dyDescent="0.3">
      <c r="G559" s="8"/>
      <c r="H559" s="8"/>
    </row>
    <row r="560" spans="7:8" x14ac:dyDescent="0.3">
      <c r="G560" s="8"/>
      <c r="H560" s="8"/>
    </row>
    <row r="561" spans="7:8" x14ac:dyDescent="0.3">
      <c r="G561" s="8"/>
      <c r="H561" s="8"/>
    </row>
    <row r="562" spans="7:8" x14ac:dyDescent="0.3">
      <c r="G562" s="8"/>
      <c r="H562" s="8"/>
    </row>
    <row r="563" spans="7:8" x14ac:dyDescent="0.3">
      <c r="G563" s="8"/>
      <c r="H563" s="8"/>
    </row>
    <row r="564" spans="7:8" x14ac:dyDescent="0.3">
      <c r="G564" s="8"/>
      <c r="H564" s="8"/>
    </row>
    <row r="565" spans="7:8" x14ac:dyDescent="0.3">
      <c r="G565" s="8"/>
      <c r="H565" s="8"/>
    </row>
    <row r="566" spans="7:8" x14ac:dyDescent="0.3">
      <c r="G566" s="8"/>
      <c r="H566" s="8"/>
    </row>
    <row r="567" spans="7:8" x14ac:dyDescent="0.3">
      <c r="G567" s="8"/>
      <c r="H567" s="8"/>
    </row>
    <row r="568" spans="7:8" x14ac:dyDescent="0.3">
      <c r="G568" s="8"/>
      <c r="H568" s="8"/>
    </row>
    <row r="569" spans="7:8" x14ac:dyDescent="0.3">
      <c r="G569" s="8"/>
      <c r="H569" s="8"/>
    </row>
    <row r="570" spans="7:8" x14ac:dyDescent="0.3">
      <c r="G570" s="8"/>
      <c r="H570" s="8"/>
    </row>
    <row r="571" spans="7:8" x14ac:dyDescent="0.3">
      <c r="G571" s="8"/>
      <c r="H571" s="8"/>
    </row>
    <row r="572" spans="7:8" x14ac:dyDescent="0.3">
      <c r="G572" s="8"/>
      <c r="H572" s="8"/>
    </row>
    <row r="573" spans="7:8" x14ac:dyDescent="0.3">
      <c r="G573" s="8"/>
      <c r="H573" s="8"/>
    </row>
    <row r="574" spans="7:8" x14ac:dyDescent="0.3">
      <c r="G574" s="8"/>
      <c r="H574" s="8"/>
    </row>
    <row r="575" spans="7:8" x14ac:dyDescent="0.3">
      <c r="G575" s="8"/>
      <c r="H575" s="8"/>
    </row>
    <row r="576" spans="7:8" x14ac:dyDescent="0.3">
      <c r="G576" s="8"/>
      <c r="H576" s="8"/>
    </row>
    <row r="577" spans="7:8" x14ac:dyDescent="0.3">
      <c r="G577" s="8"/>
      <c r="H577" s="8"/>
    </row>
    <row r="578" spans="7:8" x14ac:dyDescent="0.3">
      <c r="G578" s="8"/>
      <c r="H578" s="8"/>
    </row>
    <row r="579" spans="7:8" x14ac:dyDescent="0.3">
      <c r="G579" s="8"/>
      <c r="H579" s="8"/>
    </row>
    <row r="580" spans="7:8" x14ac:dyDescent="0.3">
      <c r="G580" s="8"/>
      <c r="H580" s="8"/>
    </row>
    <row r="581" spans="7:8" x14ac:dyDescent="0.3">
      <c r="G581" s="8"/>
      <c r="H581" s="8"/>
    </row>
    <row r="582" spans="7:8" x14ac:dyDescent="0.3">
      <c r="G582" s="8"/>
      <c r="H582" s="8"/>
    </row>
    <row r="583" spans="7:8" x14ac:dyDescent="0.3">
      <c r="G583" s="8"/>
      <c r="H583" s="8"/>
    </row>
    <row r="584" spans="7:8" x14ac:dyDescent="0.3">
      <c r="G584" s="8"/>
      <c r="H584" s="8"/>
    </row>
    <row r="585" spans="7:8" x14ac:dyDescent="0.3">
      <c r="G585" s="8"/>
      <c r="H585" s="8"/>
    </row>
    <row r="586" spans="7:8" x14ac:dyDescent="0.3">
      <c r="G586" s="8"/>
      <c r="H586" s="8"/>
    </row>
    <row r="587" spans="7:8" x14ac:dyDescent="0.3">
      <c r="G587" s="8"/>
      <c r="H587" s="8"/>
    </row>
    <row r="588" spans="7:8" x14ac:dyDescent="0.3">
      <c r="G588" s="8"/>
      <c r="H588" s="8"/>
    </row>
    <row r="589" spans="7:8" x14ac:dyDescent="0.3">
      <c r="G589" s="8"/>
      <c r="H589" s="8"/>
    </row>
    <row r="590" spans="7:8" x14ac:dyDescent="0.3">
      <c r="G590" s="8"/>
      <c r="H590" s="8"/>
    </row>
    <row r="591" spans="7:8" x14ac:dyDescent="0.3">
      <c r="G591" s="8"/>
      <c r="H591" s="8"/>
    </row>
    <row r="592" spans="7:8" x14ac:dyDescent="0.3">
      <c r="G592" s="8"/>
      <c r="H592" s="8"/>
    </row>
    <row r="593" spans="7:8" x14ac:dyDescent="0.3">
      <c r="G593" s="8"/>
      <c r="H593" s="8"/>
    </row>
    <row r="594" spans="7:8" x14ac:dyDescent="0.3">
      <c r="G594" s="8"/>
      <c r="H594" s="8"/>
    </row>
    <row r="595" spans="7:8" x14ac:dyDescent="0.3">
      <c r="G595" s="8"/>
      <c r="H595" s="8"/>
    </row>
    <row r="596" spans="7:8" x14ac:dyDescent="0.3">
      <c r="G596" s="8"/>
      <c r="H596" s="8"/>
    </row>
    <row r="597" spans="7:8" x14ac:dyDescent="0.3">
      <c r="G597" s="8"/>
      <c r="H597" s="8"/>
    </row>
    <row r="598" spans="7:8" x14ac:dyDescent="0.3">
      <c r="G598" s="8"/>
      <c r="H598" s="8"/>
    </row>
    <row r="599" spans="7:8" x14ac:dyDescent="0.3">
      <c r="G599" s="8"/>
      <c r="H599" s="8"/>
    </row>
    <row r="600" spans="7:8" x14ac:dyDescent="0.3">
      <c r="G600" s="8"/>
      <c r="H600" s="8"/>
    </row>
    <row r="601" spans="7:8" x14ac:dyDescent="0.3">
      <c r="G601" s="8"/>
      <c r="H601" s="8"/>
    </row>
    <row r="602" spans="7:8" x14ac:dyDescent="0.3">
      <c r="G602" s="8"/>
      <c r="H602" s="8"/>
    </row>
    <row r="603" spans="7:8" x14ac:dyDescent="0.3">
      <c r="G603" s="8"/>
      <c r="H603" s="8"/>
    </row>
    <row r="604" spans="7:8" x14ac:dyDescent="0.3">
      <c r="G604" s="8"/>
      <c r="H604" s="8"/>
    </row>
    <row r="605" spans="7:8" x14ac:dyDescent="0.3">
      <c r="G605" s="8"/>
      <c r="H605" s="8"/>
    </row>
    <row r="606" spans="7:8" x14ac:dyDescent="0.3">
      <c r="G606" s="8"/>
      <c r="H606" s="8"/>
    </row>
    <row r="607" spans="7:8" x14ac:dyDescent="0.3">
      <c r="G607" s="8"/>
      <c r="H607" s="8"/>
    </row>
    <row r="608" spans="7:8" x14ac:dyDescent="0.3">
      <c r="G608" s="8"/>
      <c r="H608" s="8"/>
    </row>
    <row r="609" spans="7:8" x14ac:dyDescent="0.3">
      <c r="G609" s="8"/>
      <c r="H609" s="8"/>
    </row>
    <row r="610" spans="7:8" x14ac:dyDescent="0.3">
      <c r="G610" s="8"/>
      <c r="H610" s="8"/>
    </row>
    <row r="611" spans="7:8" x14ac:dyDescent="0.3">
      <c r="G611" s="8"/>
      <c r="H611" s="8"/>
    </row>
    <row r="612" spans="7:8" x14ac:dyDescent="0.3">
      <c r="G612" s="8"/>
      <c r="H612" s="8"/>
    </row>
    <row r="613" spans="7:8" x14ac:dyDescent="0.3">
      <c r="G613" s="8"/>
      <c r="H613" s="8"/>
    </row>
    <row r="614" spans="7:8" x14ac:dyDescent="0.3">
      <c r="G614" s="8"/>
      <c r="H614" s="8"/>
    </row>
    <row r="615" spans="7:8" x14ac:dyDescent="0.3">
      <c r="G615" s="8"/>
      <c r="H615" s="8"/>
    </row>
    <row r="616" spans="7:8" x14ac:dyDescent="0.3">
      <c r="G616" s="8"/>
      <c r="H616" s="8"/>
    </row>
    <row r="617" spans="7:8" x14ac:dyDescent="0.3">
      <c r="G617" s="8"/>
      <c r="H617" s="8"/>
    </row>
    <row r="618" spans="7:8" x14ac:dyDescent="0.3">
      <c r="G618" s="8"/>
      <c r="H618" s="8"/>
    </row>
    <row r="619" spans="7:8" x14ac:dyDescent="0.3">
      <c r="G619" s="8"/>
      <c r="H619" s="8"/>
    </row>
    <row r="620" spans="7:8" x14ac:dyDescent="0.3">
      <c r="G620" s="8"/>
      <c r="H620" s="8"/>
    </row>
  </sheetData>
  <sheetProtection formatCells="0" selectLockedCells="1" sort="0"/>
  <dataConsolidate/>
  <mergeCells count="3">
    <mergeCell ref="H20:I20"/>
    <mergeCell ref="H21:I21"/>
    <mergeCell ref="D20:G21"/>
  </mergeCells>
  <conditionalFormatting sqref="H2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{61983725-23B7-4C40-8D7A-982EBD107392}</x14:id>
        </ext>
      </extLst>
    </cfRule>
  </conditionalFormatting>
  <conditionalFormatting sqref="H2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{07E95515-925C-4DF4-92E3-A714991A5D1A}</x14:id>
        </ext>
      </extLst>
    </cfRule>
  </conditionalFormatting>
  <conditionalFormatting sqref="G2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{7A7A03EF-178D-486C-A32D-44F56B491848}</x14:id>
        </ext>
      </extLst>
    </cfRule>
  </conditionalFormatting>
  <conditionalFormatting sqref="I2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{A0DC161C-458F-4614-BAD9-39F32DDCF8C5}</x14:id>
        </ext>
      </extLst>
    </cfRule>
  </conditionalFormatting>
  <conditionalFormatting sqref="H25:H62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{17CF7833-B1B1-427E-8D1D-819E6021934B}</x14:id>
        </ext>
      </extLst>
    </cfRule>
  </conditionalFormatting>
  <conditionalFormatting sqref="I25:I629">
    <cfRule type="cellIs" dxfId="5" priority="1" operator="equal">
      <formula>"Out of Stock"</formula>
    </cfRule>
    <cfRule type="cellIs" dxfId="4" priority="2" operator="equal">
      <formula>"Reorder now"</formula>
    </cfRule>
    <cfRule type="cellIs" dxfId="3" priority="3" operator="equal">
      <formula>"Fine"</formula>
    </cfRule>
  </conditionalFormatting>
  <dataValidations count="4">
    <dataValidation type="list" allowBlank="1" showInputMessage="1" showErrorMessage="1" sqref="N21">
      <formula1>Customers</formula1>
    </dataValidation>
    <dataValidation type="list" allowBlank="1" showInputMessage="1" showErrorMessage="1" sqref="B21">
      <formula1>Category1</formula1>
    </dataValidation>
    <dataValidation type="list" allowBlank="1" showInputMessage="1" showErrorMessage="1" sqref="C21">
      <formula1>OFFSET(Cascade,MATCH($B$21,Cat_Validation,0),0,COUNTIF(Cat_Validation,$B$21),1)</formula1>
    </dataValidation>
    <dataValidation type="list" allowBlank="1" showInputMessage="1" showErrorMessage="1" sqref="H21:I21">
      <formula1>Reorder2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Click" altText="Add Details">
                <anchor moveWithCells="1" sizeWithCells="1">
                  <from>
                    <xdr:col>1</xdr:col>
                    <xdr:colOff>53340</xdr:colOff>
                    <xdr:row>13</xdr:row>
                    <xdr:rowOff>167640</xdr:rowOff>
                  </from>
                  <to>
                    <xdr:col>2</xdr:col>
                    <xdr:colOff>30480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_Click">
                <anchor moveWithCells="1" sizeWithCells="1">
                  <from>
                    <xdr:col>2</xdr:col>
                    <xdr:colOff>411480</xdr:colOff>
                    <xdr:row>13</xdr:row>
                    <xdr:rowOff>160020</xdr:rowOff>
                  </from>
                  <to>
                    <xdr:col>2</xdr:col>
                    <xdr:colOff>1661160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SS1_Click">
                <anchor moveWithCells="1" sizeWithCells="1">
                  <from>
                    <xdr:col>2</xdr:col>
                    <xdr:colOff>1981200</xdr:colOff>
                    <xdr:row>13</xdr:row>
                    <xdr:rowOff>167640</xdr:rowOff>
                  </from>
                  <to>
                    <xdr:col>4</xdr:col>
                    <xdr:colOff>586740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983725-23B7-4C40-8D7A-982EBD107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07E95515-925C-4DF4-92E3-A714991A5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7A7A03EF-178D-486C-A32D-44F56B49184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A0DC161C-458F-4614-BAD9-39F32DDC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17CF7833-B1B1-427E-8D1D-819E6021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H25:H627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G20"/>
  <sheetViews>
    <sheetView showGridLines="0" zoomScaleNormal="100" workbookViewId="0">
      <selection activeCell="C6" sqref="C6"/>
    </sheetView>
  </sheetViews>
  <sheetFormatPr defaultRowHeight="14.4" x14ac:dyDescent="0.3"/>
  <cols>
    <col min="1" max="1" width="27.77734375" customWidth="1"/>
    <col min="2" max="2" width="12.33203125" style="188" customWidth="1"/>
    <col min="3" max="3" width="25.109375" customWidth="1"/>
    <col min="4" max="4" width="23.44140625" customWidth="1"/>
    <col min="5" max="5" width="14.109375" customWidth="1"/>
    <col min="6" max="6" width="18" customWidth="1"/>
    <col min="8" max="8" width="17.88671875" customWidth="1"/>
    <col min="9" max="9" width="16.109375" customWidth="1"/>
  </cols>
  <sheetData>
    <row r="1" spans="2:33" x14ac:dyDescent="0.3">
      <c r="AA1" s="75"/>
      <c r="AB1" s="75"/>
      <c r="AC1" s="75"/>
      <c r="AD1" s="75"/>
      <c r="AE1" s="75"/>
      <c r="AF1" s="75"/>
      <c r="AG1" s="75"/>
    </row>
    <row r="2" spans="2:33" x14ac:dyDescent="0.3">
      <c r="AA2" s="75"/>
      <c r="AB2" s="75"/>
      <c r="AC2" s="75"/>
      <c r="AD2" s="75"/>
      <c r="AE2" s="75"/>
      <c r="AF2" s="75"/>
      <c r="AG2" s="75"/>
    </row>
    <row r="3" spans="2:33" x14ac:dyDescent="0.3">
      <c r="AA3" s="75"/>
      <c r="AB3" s="75"/>
      <c r="AC3" s="75"/>
      <c r="AD3" s="75"/>
      <c r="AE3" s="75"/>
      <c r="AF3" s="75"/>
      <c r="AG3" s="75"/>
    </row>
    <row r="4" spans="2:33" ht="47.4" customHeight="1" x14ac:dyDescent="0.3">
      <c r="AA4" s="75"/>
      <c r="AB4" s="75"/>
      <c r="AC4" s="75"/>
      <c r="AD4" s="75"/>
      <c r="AE4" s="75"/>
      <c r="AF4" s="75"/>
      <c r="AG4" s="75"/>
    </row>
    <row r="5" spans="2:33" s="19" customFormat="1" ht="24" customHeight="1" x14ac:dyDescent="0.3">
      <c r="B5" s="189" t="s">
        <v>275</v>
      </c>
      <c r="C5" s="54" t="s">
        <v>183</v>
      </c>
      <c r="D5" s="190" t="s">
        <v>19</v>
      </c>
      <c r="E5" s="54" t="s">
        <v>20</v>
      </c>
      <c r="F5" s="54" t="s">
        <v>15</v>
      </c>
      <c r="G5" s="190" t="s">
        <v>184</v>
      </c>
      <c r="H5" s="191" t="s">
        <v>223</v>
      </c>
      <c r="I5" s="192" t="s">
        <v>222</v>
      </c>
      <c r="J5" s="192"/>
    </row>
    <row r="6" spans="2:33" x14ac:dyDescent="0.3">
      <c r="B6">
        <v>10001</v>
      </c>
      <c r="C6" t="s">
        <v>307</v>
      </c>
      <c r="D6" t="s">
        <v>185</v>
      </c>
      <c r="E6" t="s">
        <v>186</v>
      </c>
      <c r="F6" t="s">
        <v>187</v>
      </c>
      <c r="G6">
        <v>98134</v>
      </c>
      <c r="H6">
        <v>47.595100402832031</v>
      </c>
      <c r="I6">
        <v>-122.33200073242188</v>
      </c>
    </row>
    <row r="7" spans="2:33" x14ac:dyDescent="0.3">
      <c r="B7">
        <v>10002</v>
      </c>
      <c r="C7" t="s">
        <v>306</v>
      </c>
      <c r="D7" t="s">
        <v>188</v>
      </c>
      <c r="E7" t="s">
        <v>189</v>
      </c>
      <c r="F7" t="s">
        <v>190</v>
      </c>
      <c r="G7">
        <v>80218</v>
      </c>
      <c r="H7">
        <v>39.740299224853516</v>
      </c>
      <c r="I7">
        <v>-104.97499847412109</v>
      </c>
    </row>
    <row r="8" spans="2:33" x14ac:dyDescent="0.3">
      <c r="B8"/>
    </row>
    <row r="9" spans="2:33" x14ac:dyDescent="0.3">
      <c r="B9"/>
    </row>
    <row r="10" spans="2:33" x14ac:dyDescent="0.3">
      <c r="B10"/>
    </row>
    <row r="11" spans="2:33" x14ac:dyDescent="0.3">
      <c r="B11"/>
    </row>
    <row r="12" spans="2:33" x14ac:dyDescent="0.3">
      <c r="B12"/>
    </row>
    <row r="13" spans="2:33" x14ac:dyDescent="0.3">
      <c r="B13"/>
    </row>
    <row r="14" spans="2:33" x14ac:dyDescent="0.3">
      <c r="B14"/>
    </row>
    <row r="15" spans="2:33" x14ac:dyDescent="0.3">
      <c r="B15"/>
    </row>
    <row r="16" spans="2:33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92"/>
  <sheetViews>
    <sheetView showGridLines="0"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5" sqref="B5:J5"/>
    </sheetView>
  </sheetViews>
  <sheetFormatPr defaultRowHeight="14.4" x14ac:dyDescent="0.3"/>
  <cols>
    <col min="2" max="2" width="16.5546875" customWidth="1"/>
    <col min="3" max="3" width="33.109375" style="4" customWidth="1"/>
    <col min="4" max="4" width="26.6640625" style="33" customWidth="1"/>
    <col min="5" max="5" width="20.21875" style="4" customWidth="1"/>
    <col min="6" max="6" width="25.109375" style="4" customWidth="1"/>
    <col min="7" max="7" width="17.6640625" style="33" customWidth="1"/>
    <col min="8" max="8" width="16.5546875" style="39" customWidth="1"/>
    <col min="9" max="9" width="20" style="36" customWidth="1"/>
    <col min="10" max="10" width="20.88671875" style="36" customWidth="1"/>
  </cols>
  <sheetData>
    <row r="1" spans="2:18" ht="43.95" customHeight="1" x14ac:dyDescent="0.3">
      <c r="C1"/>
      <c r="D1" s="6"/>
      <c r="E1"/>
      <c r="F1"/>
      <c r="G1" s="6"/>
      <c r="H1" s="8"/>
      <c r="I1" s="5"/>
      <c r="J1" s="5"/>
    </row>
    <row r="2" spans="2:18" x14ac:dyDescent="0.3">
      <c r="C2"/>
      <c r="D2" s="6"/>
      <c r="E2"/>
      <c r="F2"/>
      <c r="G2" s="6"/>
      <c r="H2" s="8"/>
      <c r="I2" s="5"/>
      <c r="J2" s="5"/>
      <c r="R2" s="72"/>
    </row>
    <row r="3" spans="2:18" x14ac:dyDescent="0.3">
      <c r="C3"/>
      <c r="D3" s="6"/>
      <c r="E3"/>
      <c r="F3"/>
      <c r="G3" s="6"/>
      <c r="H3" s="8"/>
      <c r="I3" s="5"/>
      <c r="J3" s="5"/>
    </row>
    <row r="4" spans="2:18" ht="17.399999999999999" customHeight="1" x14ac:dyDescent="0.3">
      <c r="C4"/>
      <c r="D4" s="6"/>
      <c r="E4"/>
      <c r="F4"/>
      <c r="G4" s="6"/>
      <c r="H4" s="8"/>
      <c r="I4" s="5"/>
      <c r="J4" s="5"/>
    </row>
    <row r="5" spans="2:18" ht="30" customHeight="1" x14ac:dyDescent="0.3">
      <c r="B5" s="51" t="s">
        <v>275</v>
      </c>
      <c r="C5" s="51" t="s">
        <v>183</v>
      </c>
      <c r="D5" s="65" t="s">
        <v>19</v>
      </c>
      <c r="E5" s="51" t="s">
        <v>20</v>
      </c>
      <c r="F5" s="51" t="s">
        <v>15</v>
      </c>
      <c r="G5" s="65" t="s">
        <v>184</v>
      </c>
      <c r="H5" s="52" t="s">
        <v>223</v>
      </c>
      <c r="I5" s="66" t="s">
        <v>222</v>
      </c>
      <c r="J5" s="66"/>
    </row>
    <row r="6" spans="2:18" x14ac:dyDescent="0.3">
      <c r="B6">
        <v>20001</v>
      </c>
      <c r="C6" s="4" t="s">
        <v>177</v>
      </c>
      <c r="D6" s="33" t="s">
        <v>226</v>
      </c>
      <c r="E6" s="4" t="s">
        <v>227</v>
      </c>
      <c r="F6" s="34" t="s">
        <v>228</v>
      </c>
      <c r="G6" s="33">
        <v>90069</v>
      </c>
      <c r="H6" s="39">
        <v>34.081569600000002</v>
      </c>
      <c r="I6" s="74">
        <v>-118.3892793</v>
      </c>
    </row>
    <row r="7" spans="2:18" x14ac:dyDescent="0.3">
      <c r="B7">
        <v>20002</v>
      </c>
      <c r="C7" s="4" t="s">
        <v>178</v>
      </c>
      <c r="D7" s="33" t="s">
        <v>229</v>
      </c>
      <c r="E7" s="4" t="s">
        <v>230</v>
      </c>
      <c r="F7" s="34" t="s">
        <v>231</v>
      </c>
      <c r="G7" s="33">
        <v>75215</v>
      </c>
      <c r="H7" s="39">
        <v>32.779508300000003</v>
      </c>
      <c r="I7" s="74">
        <v>-96.759548899999999</v>
      </c>
    </row>
    <row r="8" spans="2:18" x14ac:dyDescent="0.3">
      <c r="B8">
        <v>20003</v>
      </c>
      <c r="C8" s="4" t="s">
        <v>179</v>
      </c>
      <c r="D8" s="33" t="s">
        <v>232</v>
      </c>
      <c r="E8" s="4" t="s">
        <v>233</v>
      </c>
      <c r="F8" s="34" t="s">
        <v>234</v>
      </c>
      <c r="G8" s="33">
        <v>64108</v>
      </c>
      <c r="H8" s="39">
        <v>39.077025300000003</v>
      </c>
      <c r="I8" s="74">
        <v>-94.586092199999996</v>
      </c>
    </row>
    <row r="9" spans="2:18" x14ac:dyDescent="0.3">
      <c r="B9">
        <v>20004</v>
      </c>
      <c r="C9" s="4" t="s">
        <v>180</v>
      </c>
      <c r="D9" s="33" t="s">
        <v>235</v>
      </c>
      <c r="E9" s="4" t="s">
        <v>236</v>
      </c>
      <c r="F9" s="34" t="s">
        <v>237</v>
      </c>
      <c r="G9" s="33">
        <v>46202</v>
      </c>
      <c r="H9" s="39">
        <v>39.773898099999997</v>
      </c>
      <c r="I9" s="74">
        <v>-86.176306199999999</v>
      </c>
    </row>
    <row r="10" spans="2:18" x14ac:dyDescent="0.3">
      <c r="F10" s="34"/>
      <c r="I10" s="74"/>
    </row>
    <row r="11" spans="2:18" x14ac:dyDescent="0.3">
      <c r="F11" s="34"/>
      <c r="I11" s="74"/>
    </row>
    <row r="12" spans="2:18" x14ac:dyDescent="0.3">
      <c r="F12" s="34"/>
      <c r="I12" s="74"/>
    </row>
    <row r="13" spans="2:18" x14ac:dyDescent="0.3">
      <c r="F13" s="34"/>
      <c r="I13" s="74"/>
    </row>
    <row r="14" spans="2:18" x14ac:dyDescent="0.3">
      <c r="F14" s="34"/>
      <c r="I14" s="74"/>
    </row>
    <row r="15" spans="2:18" x14ac:dyDescent="0.3">
      <c r="F15" s="34"/>
      <c r="I15" s="74"/>
    </row>
    <row r="16" spans="2:18" x14ac:dyDescent="0.3">
      <c r="F16" s="34"/>
      <c r="I16" s="74"/>
    </row>
    <row r="17" spans="6:9" x14ac:dyDescent="0.3">
      <c r="F17" s="34"/>
      <c r="I17" s="74"/>
    </row>
    <row r="18" spans="6:9" x14ac:dyDescent="0.3">
      <c r="F18" s="34"/>
      <c r="I18" s="74"/>
    </row>
    <row r="19" spans="6:9" x14ac:dyDescent="0.3">
      <c r="F19" s="34"/>
      <c r="I19" s="74"/>
    </row>
    <row r="20" spans="6:9" x14ac:dyDescent="0.3">
      <c r="F20" s="34"/>
      <c r="I20" s="74"/>
    </row>
    <row r="21" spans="6:9" x14ac:dyDescent="0.3">
      <c r="F21" s="34"/>
    </row>
    <row r="22" spans="6:9" x14ac:dyDescent="0.3">
      <c r="F22" s="34"/>
    </row>
    <row r="23" spans="6:9" x14ac:dyDescent="0.3">
      <c r="F23" s="34"/>
    </row>
    <row r="24" spans="6:9" x14ac:dyDescent="0.3">
      <c r="F24" s="34"/>
    </row>
    <row r="25" spans="6:9" x14ac:dyDescent="0.3">
      <c r="F25" s="34"/>
    </row>
    <row r="26" spans="6:9" x14ac:dyDescent="0.3">
      <c r="F26" s="34"/>
    </row>
    <row r="27" spans="6:9" x14ac:dyDescent="0.3">
      <c r="F27" s="34"/>
    </row>
    <row r="28" spans="6:9" x14ac:dyDescent="0.3">
      <c r="F28" s="34"/>
    </row>
    <row r="29" spans="6:9" x14ac:dyDescent="0.3">
      <c r="F29" s="34"/>
    </row>
    <row r="30" spans="6:9" x14ac:dyDescent="0.3">
      <c r="F30" s="34"/>
    </row>
    <row r="31" spans="6:9" x14ac:dyDescent="0.3">
      <c r="F31" s="34"/>
    </row>
    <row r="32" spans="6:9" x14ac:dyDescent="0.3">
      <c r="F32" s="34"/>
    </row>
    <row r="33" spans="6:6" x14ac:dyDescent="0.3">
      <c r="F33" s="34"/>
    </row>
    <row r="34" spans="6:6" x14ac:dyDescent="0.3">
      <c r="F34" s="34"/>
    </row>
    <row r="35" spans="6:6" x14ac:dyDescent="0.3">
      <c r="F35" s="34"/>
    </row>
    <row r="36" spans="6:6" x14ac:dyDescent="0.3">
      <c r="F36" s="34"/>
    </row>
    <row r="37" spans="6:6" x14ac:dyDescent="0.3">
      <c r="F37" s="34"/>
    </row>
    <row r="38" spans="6:6" x14ac:dyDescent="0.3">
      <c r="F38" s="34"/>
    </row>
    <row r="39" spans="6:6" x14ac:dyDescent="0.3">
      <c r="F39" s="34"/>
    </row>
    <row r="40" spans="6:6" x14ac:dyDescent="0.3">
      <c r="F40" s="34"/>
    </row>
    <row r="41" spans="6:6" x14ac:dyDescent="0.3">
      <c r="F41" s="34"/>
    </row>
    <row r="42" spans="6:6" x14ac:dyDescent="0.3">
      <c r="F42" s="34"/>
    </row>
    <row r="43" spans="6:6" x14ac:dyDescent="0.3">
      <c r="F43" s="34"/>
    </row>
    <row r="44" spans="6:6" x14ac:dyDescent="0.3">
      <c r="F44" s="34"/>
    </row>
    <row r="45" spans="6:6" x14ac:dyDescent="0.3">
      <c r="F45" s="34"/>
    </row>
    <row r="46" spans="6:6" x14ac:dyDescent="0.3">
      <c r="F46" s="34"/>
    </row>
    <row r="47" spans="6:6" x14ac:dyDescent="0.3">
      <c r="F47" s="34"/>
    </row>
    <row r="48" spans="6:6" x14ac:dyDescent="0.3">
      <c r="F48" s="34"/>
    </row>
    <row r="49" spans="6:6" x14ac:dyDescent="0.3">
      <c r="F49" s="34"/>
    </row>
    <row r="50" spans="6:6" x14ac:dyDescent="0.3">
      <c r="F50" s="34"/>
    </row>
    <row r="51" spans="6:6" x14ac:dyDescent="0.3">
      <c r="F51" s="34"/>
    </row>
    <row r="52" spans="6:6" x14ac:dyDescent="0.3">
      <c r="F52" s="34"/>
    </row>
    <row r="53" spans="6:6" x14ac:dyDescent="0.3">
      <c r="F53" s="34"/>
    </row>
    <row r="54" spans="6:6" x14ac:dyDescent="0.3">
      <c r="F54" s="34"/>
    </row>
    <row r="55" spans="6:6" x14ac:dyDescent="0.3">
      <c r="F55" s="34"/>
    </row>
    <row r="56" spans="6:6" x14ac:dyDescent="0.3">
      <c r="F56" s="34"/>
    </row>
    <row r="57" spans="6:6" x14ac:dyDescent="0.3">
      <c r="F57" s="34"/>
    </row>
    <row r="58" spans="6:6" x14ac:dyDescent="0.3">
      <c r="F58" s="34"/>
    </row>
    <row r="59" spans="6:6" x14ac:dyDescent="0.3">
      <c r="F59" s="34"/>
    </row>
    <row r="60" spans="6:6" x14ac:dyDescent="0.3">
      <c r="F60" s="34"/>
    </row>
    <row r="61" spans="6:6" x14ac:dyDescent="0.3">
      <c r="F61" s="34"/>
    </row>
    <row r="62" spans="6:6" x14ac:dyDescent="0.3">
      <c r="F62" s="34"/>
    </row>
    <row r="63" spans="6:6" x14ac:dyDescent="0.3">
      <c r="F63" s="34"/>
    </row>
    <row r="64" spans="6:6" x14ac:dyDescent="0.3">
      <c r="F64" s="34"/>
    </row>
    <row r="65" spans="6:6" x14ac:dyDescent="0.3">
      <c r="F65" s="34"/>
    </row>
    <row r="66" spans="6:6" x14ac:dyDescent="0.3">
      <c r="F66" s="34"/>
    </row>
    <row r="67" spans="6:6" x14ac:dyDescent="0.3">
      <c r="F67" s="34"/>
    </row>
    <row r="68" spans="6:6" x14ac:dyDescent="0.3">
      <c r="F68" s="34"/>
    </row>
    <row r="69" spans="6:6" x14ac:dyDescent="0.3">
      <c r="F69" s="34"/>
    </row>
    <row r="70" spans="6:6" x14ac:dyDescent="0.3">
      <c r="F70" s="34"/>
    </row>
    <row r="71" spans="6:6" x14ac:dyDescent="0.3">
      <c r="F71" s="34"/>
    </row>
    <row r="72" spans="6:6" x14ac:dyDescent="0.3">
      <c r="F72" s="34"/>
    </row>
    <row r="73" spans="6:6" x14ac:dyDescent="0.3">
      <c r="F73" s="34"/>
    </row>
    <row r="74" spans="6:6" x14ac:dyDescent="0.3">
      <c r="F74" s="34"/>
    </row>
    <row r="75" spans="6:6" x14ac:dyDescent="0.3">
      <c r="F75" s="34"/>
    </row>
    <row r="76" spans="6:6" x14ac:dyDescent="0.3">
      <c r="F76" s="34"/>
    </row>
    <row r="77" spans="6:6" x14ac:dyDescent="0.3">
      <c r="F77" s="34"/>
    </row>
    <row r="78" spans="6:6" x14ac:dyDescent="0.3">
      <c r="F78" s="34"/>
    </row>
    <row r="79" spans="6:6" x14ac:dyDescent="0.3">
      <c r="F79" s="34"/>
    </row>
    <row r="80" spans="6:6" x14ac:dyDescent="0.3">
      <c r="F80" s="34"/>
    </row>
    <row r="81" spans="3:9" x14ac:dyDescent="0.3">
      <c r="F81" s="34"/>
    </row>
    <row r="82" spans="3:9" x14ac:dyDescent="0.3">
      <c r="F82" s="34"/>
    </row>
    <row r="83" spans="3:9" x14ac:dyDescent="0.3">
      <c r="F83" s="34"/>
    </row>
    <row r="84" spans="3:9" x14ac:dyDescent="0.3">
      <c r="F84" s="34"/>
    </row>
    <row r="85" spans="3:9" x14ac:dyDescent="0.3">
      <c r="F85" s="34"/>
    </row>
    <row r="86" spans="3:9" x14ac:dyDescent="0.3">
      <c r="F86" s="34"/>
    </row>
    <row r="87" spans="3:9" x14ac:dyDescent="0.3">
      <c r="C87" s="4" t="s">
        <v>177</v>
      </c>
      <c r="D87" s="4" t="s">
        <v>226</v>
      </c>
      <c r="E87" s="4" t="s">
        <v>227</v>
      </c>
      <c r="F87" s="4" t="s">
        <v>228</v>
      </c>
      <c r="G87" s="4">
        <v>90069</v>
      </c>
      <c r="H87">
        <v>34.081569600000002</v>
      </c>
      <c r="I87">
        <v>-118.3892793</v>
      </c>
    </row>
    <row r="88" spans="3:9" x14ac:dyDescent="0.3">
      <c r="C88" s="4" t="s">
        <v>178</v>
      </c>
      <c r="D88" s="4" t="s">
        <v>229</v>
      </c>
      <c r="E88" s="4" t="s">
        <v>230</v>
      </c>
      <c r="F88" s="4" t="s">
        <v>231</v>
      </c>
      <c r="G88" s="4">
        <v>75215</v>
      </c>
      <c r="H88">
        <v>32.777856</v>
      </c>
      <c r="I88">
        <v>-96.760088100000004</v>
      </c>
    </row>
    <row r="89" spans="3:9" x14ac:dyDescent="0.3">
      <c r="C89" s="4" t="s">
        <v>179</v>
      </c>
      <c r="D89" s="4" t="s">
        <v>232</v>
      </c>
      <c r="E89" s="4" t="s">
        <v>233</v>
      </c>
      <c r="F89" s="4" t="s">
        <v>234</v>
      </c>
      <c r="G89" s="4">
        <v>64108</v>
      </c>
      <c r="H89">
        <v>39.077025300000003</v>
      </c>
      <c r="I89">
        <v>-94.586092199999996</v>
      </c>
    </row>
    <row r="90" spans="3:9" x14ac:dyDescent="0.3">
      <c r="C90" s="4" t="s">
        <v>180</v>
      </c>
      <c r="D90" s="4" t="s">
        <v>235</v>
      </c>
      <c r="E90" s="4" t="s">
        <v>236</v>
      </c>
      <c r="F90" s="4" t="s">
        <v>237</v>
      </c>
      <c r="G90" s="4">
        <v>46202</v>
      </c>
      <c r="H90">
        <v>39.773898099999997</v>
      </c>
      <c r="I90">
        <v>-86.176306199999999</v>
      </c>
    </row>
    <row r="91" spans="3:9" x14ac:dyDescent="0.3">
      <c r="C91"/>
      <c r="D91"/>
      <c r="E91"/>
      <c r="F91"/>
      <c r="G91"/>
      <c r="H91"/>
      <c r="I91" s="73"/>
    </row>
    <row r="92" spans="3:9" x14ac:dyDescent="0.3">
      <c r="F92" s="34"/>
    </row>
  </sheetData>
  <sheetProtection formatCells="0" selectLockedCells="1" sort="0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88"/>
  <sheetViews>
    <sheetView showGridLines="0" zoomScaleNormal="100" workbookViewId="0">
      <selection activeCell="I5" sqref="I5"/>
    </sheetView>
  </sheetViews>
  <sheetFormatPr defaultColWidth="8.6640625" defaultRowHeight="12.6" x14ac:dyDescent="0.25"/>
  <cols>
    <col min="1" max="1" width="10.109375" style="78" customWidth="1"/>
    <col min="2" max="2" width="11.5546875" style="78" customWidth="1"/>
    <col min="3" max="3" width="19.21875" style="78" customWidth="1"/>
    <col min="4" max="4" width="15.5546875" style="78" customWidth="1"/>
    <col min="5" max="5" width="18" style="78" customWidth="1"/>
    <col min="6" max="6" width="13.109375" style="78" customWidth="1"/>
    <col min="7" max="7" width="13.6640625" style="78" customWidth="1"/>
    <col min="8" max="244" width="8.6640625" style="78"/>
    <col min="245" max="245" width="10.109375" style="78" customWidth="1"/>
    <col min="246" max="246" width="8.6640625" style="78"/>
    <col min="247" max="250" width="10.109375" style="78" customWidth="1"/>
    <col min="251" max="500" width="8.6640625" style="78"/>
    <col min="501" max="501" width="10.109375" style="78" customWidth="1"/>
    <col min="502" max="502" width="8.6640625" style="78"/>
    <col min="503" max="506" width="10.109375" style="78" customWidth="1"/>
    <col min="507" max="756" width="8.6640625" style="78"/>
    <col min="757" max="757" width="10.109375" style="78" customWidth="1"/>
    <col min="758" max="758" width="8.6640625" style="78"/>
    <col min="759" max="762" width="10.109375" style="78" customWidth="1"/>
    <col min="763" max="1012" width="8.6640625" style="78"/>
    <col min="1013" max="1013" width="10.109375" style="78" customWidth="1"/>
    <col min="1014" max="1014" width="8.6640625" style="78"/>
    <col min="1015" max="1018" width="10.109375" style="78" customWidth="1"/>
    <col min="1019" max="1268" width="8.6640625" style="78"/>
    <col min="1269" max="1269" width="10.109375" style="78" customWidth="1"/>
    <col min="1270" max="1270" width="8.6640625" style="78"/>
    <col min="1271" max="1274" width="10.109375" style="78" customWidth="1"/>
    <col min="1275" max="1524" width="8.6640625" style="78"/>
    <col min="1525" max="1525" width="10.109375" style="78" customWidth="1"/>
    <col min="1526" max="1526" width="8.6640625" style="78"/>
    <col min="1527" max="1530" width="10.109375" style="78" customWidth="1"/>
    <col min="1531" max="1780" width="8.6640625" style="78"/>
    <col min="1781" max="1781" width="10.109375" style="78" customWidth="1"/>
    <col min="1782" max="1782" width="8.6640625" style="78"/>
    <col min="1783" max="1786" width="10.109375" style="78" customWidth="1"/>
    <col min="1787" max="2036" width="8.6640625" style="78"/>
    <col min="2037" max="2037" width="10.109375" style="78" customWidth="1"/>
    <col min="2038" max="2038" width="8.6640625" style="78"/>
    <col min="2039" max="2042" width="10.109375" style="78" customWidth="1"/>
    <col min="2043" max="2292" width="8.6640625" style="78"/>
    <col min="2293" max="2293" width="10.109375" style="78" customWidth="1"/>
    <col min="2294" max="2294" width="8.6640625" style="78"/>
    <col min="2295" max="2298" width="10.109375" style="78" customWidth="1"/>
    <col min="2299" max="2548" width="8.6640625" style="78"/>
    <col min="2549" max="2549" width="10.109375" style="78" customWidth="1"/>
    <col min="2550" max="2550" width="8.6640625" style="78"/>
    <col min="2551" max="2554" width="10.109375" style="78" customWidth="1"/>
    <col min="2555" max="2804" width="8.6640625" style="78"/>
    <col min="2805" max="2805" width="10.109375" style="78" customWidth="1"/>
    <col min="2806" max="2806" width="8.6640625" style="78"/>
    <col min="2807" max="2810" width="10.109375" style="78" customWidth="1"/>
    <col min="2811" max="3060" width="8.6640625" style="78"/>
    <col min="3061" max="3061" width="10.109375" style="78" customWidth="1"/>
    <col min="3062" max="3062" width="8.6640625" style="78"/>
    <col min="3063" max="3066" width="10.109375" style="78" customWidth="1"/>
    <col min="3067" max="3316" width="8.6640625" style="78"/>
    <col min="3317" max="3317" width="10.109375" style="78" customWidth="1"/>
    <col min="3318" max="3318" width="8.6640625" style="78"/>
    <col min="3319" max="3322" width="10.109375" style="78" customWidth="1"/>
    <col min="3323" max="3572" width="8.6640625" style="78"/>
    <col min="3573" max="3573" width="10.109375" style="78" customWidth="1"/>
    <col min="3574" max="3574" width="8.6640625" style="78"/>
    <col min="3575" max="3578" width="10.109375" style="78" customWidth="1"/>
    <col min="3579" max="3828" width="8.6640625" style="78"/>
    <col min="3829" max="3829" width="10.109375" style="78" customWidth="1"/>
    <col min="3830" max="3830" width="8.6640625" style="78"/>
    <col min="3831" max="3834" width="10.109375" style="78" customWidth="1"/>
    <col min="3835" max="4084" width="8.6640625" style="78"/>
    <col min="4085" max="4085" width="10.109375" style="78" customWidth="1"/>
    <col min="4086" max="4086" width="8.6640625" style="78"/>
    <col min="4087" max="4090" width="10.109375" style="78" customWidth="1"/>
    <col min="4091" max="4340" width="8.6640625" style="78"/>
    <col min="4341" max="4341" width="10.109375" style="78" customWidth="1"/>
    <col min="4342" max="4342" width="8.6640625" style="78"/>
    <col min="4343" max="4346" width="10.109375" style="78" customWidth="1"/>
    <col min="4347" max="4596" width="8.6640625" style="78"/>
    <col min="4597" max="4597" width="10.109375" style="78" customWidth="1"/>
    <col min="4598" max="4598" width="8.6640625" style="78"/>
    <col min="4599" max="4602" width="10.109375" style="78" customWidth="1"/>
    <col min="4603" max="4852" width="8.6640625" style="78"/>
    <col min="4853" max="4853" width="10.109375" style="78" customWidth="1"/>
    <col min="4854" max="4854" width="8.6640625" style="78"/>
    <col min="4855" max="4858" width="10.109375" style="78" customWidth="1"/>
    <col min="4859" max="5108" width="8.6640625" style="78"/>
    <col min="5109" max="5109" width="10.109375" style="78" customWidth="1"/>
    <col min="5110" max="5110" width="8.6640625" style="78"/>
    <col min="5111" max="5114" width="10.109375" style="78" customWidth="1"/>
    <col min="5115" max="5364" width="8.6640625" style="78"/>
    <col min="5365" max="5365" width="10.109375" style="78" customWidth="1"/>
    <col min="5366" max="5366" width="8.6640625" style="78"/>
    <col min="5367" max="5370" width="10.109375" style="78" customWidth="1"/>
    <col min="5371" max="5620" width="8.6640625" style="78"/>
    <col min="5621" max="5621" width="10.109375" style="78" customWidth="1"/>
    <col min="5622" max="5622" width="8.6640625" style="78"/>
    <col min="5623" max="5626" width="10.109375" style="78" customWidth="1"/>
    <col min="5627" max="5876" width="8.6640625" style="78"/>
    <col min="5877" max="5877" width="10.109375" style="78" customWidth="1"/>
    <col min="5878" max="5878" width="8.6640625" style="78"/>
    <col min="5879" max="5882" width="10.109375" style="78" customWidth="1"/>
    <col min="5883" max="6132" width="8.6640625" style="78"/>
    <col min="6133" max="6133" width="10.109375" style="78" customWidth="1"/>
    <col min="6134" max="6134" width="8.6640625" style="78"/>
    <col min="6135" max="6138" width="10.109375" style="78" customWidth="1"/>
    <col min="6139" max="6388" width="8.6640625" style="78"/>
    <col min="6389" max="6389" width="10.109375" style="78" customWidth="1"/>
    <col min="6390" max="6390" width="8.6640625" style="78"/>
    <col min="6391" max="6394" width="10.109375" style="78" customWidth="1"/>
    <col min="6395" max="6644" width="8.6640625" style="78"/>
    <col min="6645" max="6645" width="10.109375" style="78" customWidth="1"/>
    <col min="6646" max="6646" width="8.6640625" style="78"/>
    <col min="6647" max="6650" width="10.109375" style="78" customWidth="1"/>
    <col min="6651" max="6900" width="8.6640625" style="78"/>
    <col min="6901" max="6901" width="10.109375" style="78" customWidth="1"/>
    <col min="6902" max="6902" width="8.6640625" style="78"/>
    <col min="6903" max="6906" width="10.109375" style="78" customWidth="1"/>
    <col min="6907" max="7156" width="8.6640625" style="78"/>
    <col min="7157" max="7157" width="10.109375" style="78" customWidth="1"/>
    <col min="7158" max="7158" width="8.6640625" style="78"/>
    <col min="7159" max="7162" width="10.109375" style="78" customWidth="1"/>
    <col min="7163" max="7412" width="8.6640625" style="78"/>
    <col min="7413" max="7413" width="10.109375" style="78" customWidth="1"/>
    <col min="7414" max="7414" width="8.6640625" style="78"/>
    <col min="7415" max="7418" width="10.109375" style="78" customWidth="1"/>
    <col min="7419" max="7668" width="8.6640625" style="78"/>
    <col min="7669" max="7669" width="10.109375" style="78" customWidth="1"/>
    <col min="7670" max="7670" width="8.6640625" style="78"/>
    <col min="7671" max="7674" width="10.109375" style="78" customWidth="1"/>
    <col min="7675" max="7924" width="8.6640625" style="78"/>
    <col min="7925" max="7925" width="10.109375" style="78" customWidth="1"/>
    <col min="7926" max="7926" width="8.6640625" style="78"/>
    <col min="7927" max="7930" width="10.109375" style="78" customWidth="1"/>
    <col min="7931" max="8180" width="8.6640625" style="78"/>
    <col min="8181" max="8181" width="10.109375" style="78" customWidth="1"/>
    <col min="8182" max="8182" width="8.6640625" style="78"/>
    <col min="8183" max="8186" width="10.109375" style="78" customWidth="1"/>
    <col min="8187" max="8436" width="8.6640625" style="78"/>
    <col min="8437" max="8437" width="10.109375" style="78" customWidth="1"/>
    <col min="8438" max="8438" width="8.6640625" style="78"/>
    <col min="8439" max="8442" width="10.109375" style="78" customWidth="1"/>
    <col min="8443" max="8692" width="8.6640625" style="78"/>
    <col min="8693" max="8693" width="10.109375" style="78" customWidth="1"/>
    <col min="8694" max="8694" width="8.6640625" style="78"/>
    <col min="8695" max="8698" width="10.109375" style="78" customWidth="1"/>
    <col min="8699" max="8948" width="8.6640625" style="78"/>
    <col min="8949" max="8949" width="10.109375" style="78" customWidth="1"/>
    <col min="8950" max="8950" width="8.6640625" style="78"/>
    <col min="8951" max="8954" width="10.109375" style="78" customWidth="1"/>
    <col min="8955" max="9204" width="8.6640625" style="78"/>
    <col min="9205" max="9205" width="10.109375" style="78" customWidth="1"/>
    <col min="9206" max="9206" width="8.6640625" style="78"/>
    <col min="9207" max="9210" width="10.109375" style="78" customWidth="1"/>
    <col min="9211" max="9460" width="8.6640625" style="78"/>
    <col min="9461" max="9461" width="10.109375" style="78" customWidth="1"/>
    <col min="9462" max="9462" width="8.6640625" style="78"/>
    <col min="9463" max="9466" width="10.109375" style="78" customWidth="1"/>
    <col min="9467" max="9716" width="8.6640625" style="78"/>
    <col min="9717" max="9717" width="10.109375" style="78" customWidth="1"/>
    <col min="9718" max="9718" width="8.6640625" style="78"/>
    <col min="9719" max="9722" width="10.109375" style="78" customWidth="1"/>
    <col min="9723" max="9972" width="8.6640625" style="78"/>
    <col min="9973" max="9973" width="10.109375" style="78" customWidth="1"/>
    <col min="9974" max="9974" width="8.6640625" style="78"/>
    <col min="9975" max="9978" width="10.109375" style="78" customWidth="1"/>
    <col min="9979" max="10228" width="8.6640625" style="78"/>
    <col min="10229" max="10229" width="10.109375" style="78" customWidth="1"/>
    <col min="10230" max="10230" width="8.6640625" style="78"/>
    <col min="10231" max="10234" width="10.109375" style="78" customWidth="1"/>
    <col min="10235" max="10484" width="8.6640625" style="78"/>
    <col min="10485" max="10485" width="10.109375" style="78" customWidth="1"/>
    <col min="10486" max="10486" width="8.6640625" style="78"/>
    <col min="10487" max="10490" width="10.109375" style="78" customWidth="1"/>
    <col min="10491" max="10740" width="8.6640625" style="78"/>
    <col min="10741" max="10741" width="10.109375" style="78" customWidth="1"/>
    <col min="10742" max="10742" width="8.6640625" style="78"/>
    <col min="10743" max="10746" width="10.109375" style="78" customWidth="1"/>
    <col min="10747" max="10996" width="8.6640625" style="78"/>
    <col min="10997" max="10997" width="10.109375" style="78" customWidth="1"/>
    <col min="10998" max="10998" width="8.6640625" style="78"/>
    <col min="10999" max="11002" width="10.109375" style="78" customWidth="1"/>
    <col min="11003" max="11252" width="8.6640625" style="78"/>
    <col min="11253" max="11253" width="10.109375" style="78" customWidth="1"/>
    <col min="11254" max="11254" width="8.6640625" style="78"/>
    <col min="11255" max="11258" width="10.109375" style="78" customWidth="1"/>
    <col min="11259" max="11508" width="8.6640625" style="78"/>
    <col min="11509" max="11509" width="10.109375" style="78" customWidth="1"/>
    <col min="11510" max="11510" width="8.6640625" style="78"/>
    <col min="11511" max="11514" width="10.109375" style="78" customWidth="1"/>
    <col min="11515" max="11764" width="8.6640625" style="78"/>
    <col min="11765" max="11765" width="10.109375" style="78" customWidth="1"/>
    <col min="11766" max="11766" width="8.6640625" style="78"/>
    <col min="11767" max="11770" width="10.109375" style="78" customWidth="1"/>
    <col min="11771" max="12020" width="8.6640625" style="78"/>
    <col min="12021" max="12021" width="10.109375" style="78" customWidth="1"/>
    <col min="12022" max="12022" width="8.6640625" style="78"/>
    <col min="12023" max="12026" width="10.109375" style="78" customWidth="1"/>
    <col min="12027" max="12276" width="8.6640625" style="78"/>
    <col min="12277" max="12277" width="10.109375" style="78" customWidth="1"/>
    <col min="12278" max="12278" width="8.6640625" style="78"/>
    <col min="12279" max="12282" width="10.109375" style="78" customWidth="1"/>
    <col min="12283" max="12532" width="8.6640625" style="78"/>
    <col min="12533" max="12533" width="10.109375" style="78" customWidth="1"/>
    <col min="12534" max="12534" width="8.6640625" style="78"/>
    <col min="12535" max="12538" width="10.109375" style="78" customWidth="1"/>
    <col min="12539" max="12788" width="8.6640625" style="78"/>
    <col min="12789" max="12789" width="10.109375" style="78" customWidth="1"/>
    <col min="12790" max="12790" width="8.6640625" style="78"/>
    <col min="12791" max="12794" width="10.109375" style="78" customWidth="1"/>
    <col min="12795" max="13044" width="8.6640625" style="78"/>
    <col min="13045" max="13045" width="10.109375" style="78" customWidth="1"/>
    <col min="13046" max="13046" width="8.6640625" style="78"/>
    <col min="13047" max="13050" width="10.109375" style="78" customWidth="1"/>
    <col min="13051" max="13300" width="8.6640625" style="78"/>
    <col min="13301" max="13301" width="10.109375" style="78" customWidth="1"/>
    <col min="13302" max="13302" width="8.6640625" style="78"/>
    <col min="13303" max="13306" width="10.109375" style="78" customWidth="1"/>
    <col min="13307" max="13556" width="8.6640625" style="78"/>
    <col min="13557" max="13557" width="10.109375" style="78" customWidth="1"/>
    <col min="13558" max="13558" width="8.6640625" style="78"/>
    <col min="13559" max="13562" width="10.109375" style="78" customWidth="1"/>
    <col min="13563" max="13812" width="8.6640625" style="78"/>
    <col min="13813" max="13813" width="10.109375" style="78" customWidth="1"/>
    <col min="13814" max="13814" width="8.6640625" style="78"/>
    <col min="13815" max="13818" width="10.109375" style="78" customWidth="1"/>
    <col min="13819" max="14068" width="8.6640625" style="78"/>
    <col min="14069" max="14069" width="10.109375" style="78" customWidth="1"/>
    <col min="14070" max="14070" width="8.6640625" style="78"/>
    <col min="14071" max="14074" width="10.109375" style="78" customWidth="1"/>
    <col min="14075" max="14324" width="8.6640625" style="78"/>
    <col min="14325" max="14325" width="10.109375" style="78" customWidth="1"/>
    <col min="14326" max="14326" width="8.6640625" style="78"/>
    <col min="14327" max="14330" width="10.109375" style="78" customWidth="1"/>
    <col min="14331" max="14580" width="8.6640625" style="78"/>
    <col min="14581" max="14581" width="10.109375" style="78" customWidth="1"/>
    <col min="14582" max="14582" width="8.6640625" style="78"/>
    <col min="14583" max="14586" width="10.109375" style="78" customWidth="1"/>
    <col min="14587" max="14836" width="8.6640625" style="78"/>
    <col min="14837" max="14837" width="10.109375" style="78" customWidth="1"/>
    <col min="14838" max="14838" width="8.6640625" style="78"/>
    <col min="14839" max="14842" width="10.109375" style="78" customWidth="1"/>
    <col min="14843" max="15092" width="8.6640625" style="78"/>
    <col min="15093" max="15093" width="10.109375" style="78" customWidth="1"/>
    <col min="15094" max="15094" width="8.6640625" style="78"/>
    <col min="15095" max="15098" width="10.109375" style="78" customWidth="1"/>
    <col min="15099" max="15348" width="8.6640625" style="78"/>
    <col min="15349" max="15349" width="10.109375" style="78" customWidth="1"/>
    <col min="15350" max="15350" width="8.6640625" style="78"/>
    <col min="15351" max="15354" width="10.109375" style="78" customWidth="1"/>
    <col min="15355" max="15604" width="8.6640625" style="78"/>
    <col min="15605" max="15605" width="10.109375" style="78" customWidth="1"/>
    <col min="15606" max="15606" width="8.6640625" style="78"/>
    <col min="15607" max="15610" width="10.109375" style="78" customWidth="1"/>
    <col min="15611" max="15860" width="8.6640625" style="78"/>
    <col min="15861" max="15861" width="10.109375" style="78" customWidth="1"/>
    <col min="15862" max="15862" width="8.6640625" style="78"/>
    <col min="15863" max="15866" width="10.109375" style="78" customWidth="1"/>
    <col min="15867" max="16116" width="8.6640625" style="78"/>
    <col min="16117" max="16117" width="10.109375" style="78" customWidth="1"/>
    <col min="16118" max="16118" width="8.6640625" style="78"/>
    <col min="16119" max="16122" width="10.109375" style="78" customWidth="1"/>
    <col min="16123" max="16384" width="8.6640625" style="78"/>
  </cols>
  <sheetData>
    <row r="1" spans="1:8" ht="53.4" customHeight="1" thickBot="1" x14ac:dyDescent="0.3">
      <c r="A1" s="76"/>
      <c r="B1" s="76"/>
      <c r="C1" s="77" t="s">
        <v>279</v>
      </c>
    </row>
    <row r="2" spans="1:8" x14ac:dyDescent="0.25">
      <c r="A2" s="79"/>
      <c r="B2" s="80"/>
      <c r="C2" s="81"/>
      <c r="D2" s="82" t="s">
        <v>280</v>
      </c>
      <c r="E2" s="81"/>
      <c r="F2" s="81"/>
      <c r="G2" s="81"/>
      <c r="H2" s="83"/>
    </row>
    <row r="3" spans="1:8" ht="13.2" thickBot="1" x14ac:dyDescent="0.3">
      <c r="A3" s="84"/>
      <c r="B3" s="85"/>
      <c r="C3" s="86" t="s">
        <v>281</v>
      </c>
      <c r="D3" s="87"/>
      <c r="E3" s="87"/>
      <c r="F3" s="87"/>
      <c r="G3" s="88"/>
      <c r="H3" s="89"/>
    </row>
    <row r="4" spans="1:8" ht="15.6" customHeight="1" thickBot="1" x14ac:dyDescent="0.3">
      <c r="A4" s="90" t="s">
        <v>282</v>
      </c>
      <c r="B4" s="88"/>
      <c r="C4" s="91" t="s">
        <v>283</v>
      </c>
      <c r="D4" s="91" t="s">
        <v>284</v>
      </c>
      <c r="E4" s="91" t="s">
        <v>285</v>
      </c>
      <c r="F4" s="91" t="s">
        <v>286</v>
      </c>
      <c r="G4" s="88"/>
      <c r="H4" s="89"/>
    </row>
    <row r="5" spans="1:8" ht="15.6" customHeight="1" x14ac:dyDescent="0.3">
      <c r="A5" s="92" t="s">
        <v>287</v>
      </c>
      <c r="B5" s="93" t="s">
        <v>288</v>
      </c>
      <c r="C5" s="94">
        <v>0.5</v>
      </c>
      <c r="D5" s="94">
        <v>0.5</v>
      </c>
      <c r="E5" s="94">
        <v>1</v>
      </c>
      <c r="F5" s="94">
        <v>0.20000000298023224</v>
      </c>
      <c r="G5" s="88"/>
      <c r="H5" s="89"/>
    </row>
    <row r="6" spans="1:8" ht="15.6" customHeight="1" x14ac:dyDescent="0.3">
      <c r="A6" s="95"/>
      <c r="B6" s="96" t="s">
        <v>289</v>
      </c>
      <c r="C6" s="97">
        <v>1</v>
      </c>
      <c r="D6" s="97">
        <v>0.75</v>
      </c>
      <c r="E6" s="97">
        <v>1.25</v>
      </c>
      <c r="F6" s="97">
        <v>1.25</v>
      </c>
      <c r="G6" s="88"/>
      <c r="H6" s="89"/>
    </row>
    <row r="7" spans="1:8" ht="15.6" customHeight="1" thickBot="1" x14ac:dyDescent="0.35">
      <c r="A7" s="98"/>
      <c r="B7" s="99" t="s">
        <v>290</v>
      </c>
      <c r="C7" s="100">
        <v>0.75</v>
      </c>
      <c r="D7" s="100">
        <v>1.25</v>
      </c>
      <c r="E7" s="100">
        <v>1</v>
      </c>
      <c r="F7" s="100">
        <v>0.80000001192092896</v>
      </c>
      <c r="G7" s="88"/>
      <c r="H7" s="89"/>
    </row>
    <row r="8" spans="1:8" ht="15.6" customHeight="1" x14ac:dyDescent="0.3">
      <c r="A8" s="95" t="s">
        <v>291</v>
      </c>
      <c r="B8" s="101" t="s">
        <v>288</v>
      </c>
      <c r="C8" s="97">
        <v>1.5</v>
      </c>
      <c r="D8" s="97">
        <v>0.30000001192092896</v>
      </c>
      <c r="E8" s="97">
        <v>0.5</v>
      </c>
      <c r="F8" s="97">
        <v>0.20000000298023224</v>
      </c>
      <c r="G8" s="88"/>
      <c r="H8" s="89"/>
    </row>
    <row r="9" spans="1:8" ht="15.6" customHeight="1" x14ac:dyDescent="0.3">
      <c r="A9" s="95"/>
      <c r="B9" s="101" t="s">
        <v>289</v>
      </c>
      <c r="C9" s="97">
        <v>1.25</v>
      </c>
      <c r="D9" s="97">
        <v>0.80000001192092896</v>
      </c>
      <c r="E9" s="97">
        <v>1</v>
      </c>
      <c r="F9" s="97">
        <v>0.75</v>
      </c>
      <c r="G9" s="88"/>
      <c r="H9" s="89"/>
    </row>
    <row r="10" spans="1:8" ht="15.6" customHeight="1" thickBot="1" x14ac:dyDescent="0.35">
      <c r="A10" s="98"/>
      <c r="B10" s="102" t="s">
        <v>290</v>
      </c>
      <c r="C10" s="97">
        <v>1.3999999761581421</v>
      </c>
      <c r="D10" s="97">
        <v>0.89999997615814209</v>
      </c>
      <c r="E10" s="97">
        <v>0.94999998807907104</v>
      </c>
      <c r="F10" s="97">
        <v>1.1000000238418579</v>
      </c>
      <c r="G10" s="88"/>
      <c r="H10" s="89"/>
    </row>
    <row r="11" spans="1:8" ht="15.6" customHeight="1" thickBot="1" x14ac:dyDescent="0.3">
      <c r="A11" s="101"/>
      <c r="B11" s="103"/>
      <c r="C11" s="104" t="s">
        <v>292</v>
      </c>
      <c r="D11" s="104" t="s">
        <v>293</v>
      </c>
      <c r="E11" s="104" t="s">
        <v>294</v>
      </c>
      <c r="F11" s="104" t="s">
        <v>295</v>
      </c>
      <c r="G11" s="105" t="s">
        <v>296</v>
      </c>
      <c r="H11" s="106"/>
    </row>
    <row r="12" spans="1:8" ht="15.6" customHeight="1" x14ac:dyDescent="0.3">
      <c r="A12" s="107" t="s">
        <v>283</v>
      </c>
      <c r="B12" s="108" t="s">
        <v>288</v>
      </c>
      <c r="C12" s="94">
        <v>1.5</v>
      </c>
      <c r="D12" s="94">
        <v>0.80000001192092896</v>
      </c>
      <c r="E12" s="94">
        <v>0.5</v>
      </c>
      <c r="F12" s="94">
        <v>1.5</v>
      </c>
      <c r="G12" s="109">
        <v>3</v>
      </c>
      <c r="H12" s="110"/>
    </row>
    <row r="13" spans="1:8" ht="15.6" customHeight="1" x14ac:dyDescent="0.3">
      <c r="A13" s="111"/>
      <c r="B13" s="101" t="s">
        <v>289</v>
      </c>
      <c r="C13" s="97">
        <v>1</v>
      </c>
      <c r="D13" s="97">
        <v>0.89999997615814209</v>
      </c>
      <c r="E13" s="97">
        <v>1.2000000476837158</v>
      </c>
      <c r="F13" s="97">
        <v>1.2999999523162842</v>
      </c>
      <c r="G13" s="112">
        <v>2.0999999046325684</v>
      </c>
      <c r="H13" s="110"/>
    </row>
    <row r="14" spans="1:8" ht="15.6" customHeight="1" thickBot="1" x14ac:dyDescent="0.35">
      <c r="A14" s="113"/>
      <c r="B14" s="102" t="s">
        <v>290</v>
      </c>
      <c r="C14" s="100">
        <v>1.25</v>
      </c>
      <c r="D14" s="100">
        <v>0.69999998807907104</v>
      </c>
      <c r="E14" s="100">
        <v>1.1000000238418579</v>
      </c>
      <c r="F14" s="100">
        <v>0.80000001192092896</v>
      </c>
      <c r="G14" s="114">
        <v>1.6000000238418579</v>
      </c>
      <c r="H14" s="110"/>
    </row>
    <row r="15" spans="1:8" ht="15.6" customHeight="1" x14ac:dyDescent="0.3">
      <c r="A15" s="107" t="s">
        <v>284</v>
      </c>
      <c r="B15" s="108" t="s">
        <v>288</v>
      </c>
      <c r="C15" s="94">
        <v>1</v>
      </c>
      <c r="D15" s="94">
        <v>0.5</v>
      </c>
      <c r="E15" s="94">
        <v>0.5</v>
      </c>
      <c r="F15" s="94">
        <v>1</v>
      </c>
      <c r="G15" s="109">
        <v>0.5</v>
      </c>
      <c r="H15" s="110"/>
    </row>
    <row r="16" spans="1:8" ht="15.6" customHeight="1" x14ac:dyDescent="0.3">
      <c r="A16" s="111"/>
      <c r="B16" s="101" t="s">
        <v>289</v>
      </c>
      <c r="C16" s="97">
        <v>1.25</v>
      </c>
      <c r="D16" s="97">
        <v>1</v>
      </c>
      <c r="E16" s="97">
        <v>1</v>
      </c>
      <c r="F16" s="97">
        <v>0.89999997615814209</v>
      </c>
      <c r="G16" s="112">
        <v>1.5</v>
      </c>
      <c r="H16" s="110"/>
    </row>
    <row r="17" spans="1:8" ht="15.6" customHeight="1" thickBot="1" x14ac:dyDescent="0.35">
      <c r="A17" s="113"/>
      <c r="B17" s="102" t="s">
        <v>290</v>
      </c>
      <c r="C17" s="100">
        <v>1.1000000238418579</v>
      </c>
      <c r="D17" s="100">
        <v>1.1000000238418579</v>
      </c>
      <c r="E17" s="100">
        <v>0.89999997615814209</v>
      </c>
      <c r="F17" s="100">
        <v>1.3999999761581421</v>
      </c>
      <c r="G17" s="114">
        <v>1.75</v>
      </c>
      <c r="H17" s="110"/>
    </row>
    <row r="18" spans="1:8" ht="15.6" customHeight="1" x14ac:dyDescent="0.3">
      <c r="A18" s="107" t="s">
        <v>285</v>
      </c>
      <c r="B18" s="108" t="s">
        <v>288</v>
      </c>
      <c r="C18" s="94">
        <v>1</v>
      </c>
      <c r="D18" s="94">
        <v>1.5</v>
      </c>
      <c r="E18" s="94">
        <v>2</v>
      </c>
      <c r="F18" s="94">
        <v>2</v>
      </c>
      <c r="G18" s="109">
        <v>0.5</v>
      </c>
      <c r="H18" s="110"/>
    </row>
    <row r="19" spans="1:8" ht="15.6" customHeight="1" x14ac:dyDescent="0.3">
      <c r="A19" s="111"/>
      <c r="B19" s="101" t="s">
        <v>289</v>
      </c>
      <c r="C19" s="97">
        <v>0.89999997615814209</v>
      </c>
      <c r="D19" s="97">
        <v>1.3500000238418579</v>
      </c>
      <c r="E19" s="97">
        <v>1.4500000476837158</v>
      </c>
      <c r="F19" s="97">
        <v>1.7999999523162842</v>
      </c>
      <c r="G19" s="112">
        <v>1</v>
      </c>
      <c r="H19" s="110"/>
    </row>
    <row r="20" spans="1:8" ht="15.6" customHeight="1" thickBot="1" x14ac:dyDescent="0.35">
      <c r="A20" s="113"/>
      <c r="B20" s="102" t="s">
        <v>290</v>
      </c>
      <c r="C20" s="100">
        <v>1.25</v>
      </c>
      <c r="D20" s="100">
        <v>1.2000000476837158</v>
      </c>
      <c r="E20" s="100">
        <v>1.75</v>
      </c>
      <c r="F20" s="100">
        <v>1.7000000476837158</v>
      </c>
      <c r="G20" s="114">
        <v>0.85</v>
      </c>
      <c r="H20" s="110"/>
    </row>
    <row r="21" spans="1:8" ht="15.6" customHeight="1" x14ac:dyDescent="0.3">
      <c r="A21" s="107" t="s">
        <v>286</v>
      </c>
      <c r="B21" s="101" t="s">
        <v>288</v>
      </c>
      <c r="C21" s="97">
        <v>2.5</v>
      </c>
      <c r="D21" s="97">
        <v>1.5</v>
      </c>
      <c r="E21" s="97">
        <v>0.60000002384185791</v>
      </c>
      <c r="F21" s="97">
        <v>1.5</v>
      </c>
      <c r="G21" s="112">
        <v>0.5</v>
      </c>
      <c r="H21" s="110"/>
    </row>
    <row r="22" spans="1:8" ht="15.6" customHeight="1" x14ac:dyDescent="0.3">
      <c r="A22" s="111"/>
      <c r="B22" s="101" t="s">
        <v>289</v>
      </c>
      <c r="C22" s="97">
        <v>1.75</v>
      </c>
      <c r="D22" s="97">
        <v>1.2999999523162842</v>
      </c>
      <c r="E22" s="97">
        <v>0.69999998807907104</v>
      </c>
      <c r="F22" s="97">
        <v>1.25</v>
      </c>
      <c r="G22" s="112">
        <v>1.1000000000000001</v>
      </c>
      <c r="H22" s="110"/>
    </row>
    <row r="23" spans="1:8" ht="15.6" customHeight="1" thickBot="1" x14ac:dyDescent="0.35">
      <c r="A23" s="113"/>
      <c r="B23" s="102" t="s">
        <v>290</v>
      </c>
      <c r="C23" s="100">
        <v>1.5</v>
      </c>
      <c r="D23" s="100">
        <v>1.1000000238418579</v>
      </c>
      <c r="E23" s="100">
        <v>1.5</v>
      </c>
      <c r="F23" s="100">
        <v>1.1000000238418579</v>
      </c>
      <c r="G23" s="114">
        <v>0.9</v>
      </c>
      <c r="H23" s="115"/>
    </row>
    <row r="24" spans="1:8" ht="35.4" customHeight="1" thickBot="1" x14ac:dyDescent="0.3">
      <c r="A24" s="116"/>
      <c r="B24" s="116"/>
      <c r="C24" s="117"/>
      <c r="D24" s="117" t="s">
        <v>297</v>
      </c>
      <c r="E24" s="117"/>
      <c r="F24" s="117"/>
      <c r="G24" s="117"/>
      <c r="H24" s="118"/>
    </row>
    <row r="25" spans="1:8" ht="13.2" thickBot="1" x14ac:dyDescent="0.3">
      <c r="A25" s="119"/>
      <c r="B25" s="120"/>
      <c r="C25" s="81"/>
      <c r="D25" s="121" t="s">
        <v>281</v>
      </c>
      <c r="E25" s="81"/>
      <c r="F25" s="81"/>
      <c r="G25" s="81"/>
      <c r="H25" s="83"/>
    </row>
    <row r="26" spans="1:8" ht="13.2" thickBot="1" x14ac:dyDescent="0.3">
      <c r="A26" s="90" t="s">
        <v>282</v>
      </c>
      <c r="B26" s="88"/>
      <c r="C26" s="122" t="s">
        <v>283</v>
      </c>
      <c r="D26" s="122" t="s">
        <v>284</v>
      </c>
      <c r="E26" s="122" t="s">
        <v>285</v>
      </c>
      <c r="F26" s="122" t="s">
        <v>286</v>
      </c>
      <c r="G26" s="123" t="s">
        <v>10</v>
      </c>
      <c r="H26" s="89"/>
    </row>
    <row r="27" spans="1:8" x14ac:dyDescent="0.25">
      <c r="A27" s="124" t="s">
        <v>287</v>
      </c>
      <c r="B27" s="125" t="s">
        <v>288</v>
      </c>
      <c r="C27" s="126">
        <v>32500</v>
      </c>
      <c r="D27" s="126">
        <v>0</v>
      </c>
      <c r="E27" s="126">
        <v>0</v>
      </c>
      <c r="F27" s="126">
        <v>15000</v>
      </c>
      <c r="G27" s="127">
        <f t="shared" ref="G27:G32" si="0">SUM(C27:F27)</f>
        <v>47500</v>
      </c>
      <c r="H27" s="89"/>
    </row>
    <row r="28" spans="1:8" x14ac:dyDescent="0.25">
      <c r="A28" s="128"/>
      <c r="B28" s="129" t="s">
        <v>289</v>
      </c>
      <c r="C28" s="130">
        <v>15000</v>
      </c>
      <c r="D28" s="130">
        <v>25000</v>
      </c>
      <c r="E28" s="130">
        <v>0</v>
      </c>
      <c r="F28" s="130">
        <v>0</v>
      </c>
      <c r="G28" s="131">
        <f t="shared" si="0"/>
        <v>40000</v>
      </c>
      <c r="H28" s="89"/>
    </row>
    <row r="29" spans="1:8" ht="13.2" thickBot="1" x14ac:dyDescent="0.3">
      <c r="A29" s="132"/>
      <c r="B29" s="133" t="s">
        <v>290</v>
      </c>
      <c r="C29" s="130">
        <v>20000</v>
      </c>
      <c r="D29" s="130">
        <v>0</v>
      </c>
      <c r="E29" s="130">
        <v>0</v>
      </c>
      <c r="F29" s="130">
        <v>20000</v>
      </c>
      <c r="G29" s="131">
        <f t="shared" si="0"/>
        <v>40000</v>
      </c>
      <c r="H29" s="89"/>
    </row>
    <row r="30" spans="1:8" x14ac:dyDescent="0.25">
      <c r="A30" s="124" t="s">
        <v>291</v>
      </c>
      <c r="B30" s="125" t="s">
        <v>288</v>
      </c>
      <c r="C30" s="130">
        <v>0</v>
      </c>
      <c r="D30" s="130">
        <v>20000</v>
      </c>
      <c r="E30" s="130">
        <v>30000</v>
      </c>
      <c r="F30" s="130">
        <v>0</v>
      </c>
      <c r="G30" s="131">
        <f t="shared" si="0"/>
        <v>50000</v>
      </c>
      <c r="H30" s="89"/>
    </row>
    <row r="31" spans="1:8" x14ac:dyDescent="0.25">
      <c r="A31" s="128"/>
      <c r="B31" s="129" t="s">
        <v>289</v>
      </c>
      <c r="C31" s="130">
        <v>0</v>
      </c>
      <c r="D31" s="130">
        <v>0</v>
      </c>
      <c r="E31" s="130">
        <v>15000</v>
      </c>
      <c r="F31" s="130">
        <v>24000</v>
      </c>
      <c r="G31" s="131">
        <f t="shared" si="0"/>
        <v>39000</v>
      </c>
      <c r="H31" s="89"/>
    </row>
    <row r="32" spans="1:8" ht="13.2" thickBot="1" x14ac:dyDescent="0.3">
      <c r="A32" s="132"/>
      <c r="B32" s="133" t="s">
        <v>290</v>
      </c>
      <c r="C32" s="134">
        <v>0</v>
      </c>
      <c r="D32" s="134">
        <v>20000</v>
      </c>
      <c r="E32" s="134">
        <v>14500</v>
      </c>
      <c r="F32" s="134">
        <v>0</v>
      </c>
      <c r="G32" s="135">
        <f t="shared" si="0"/>
        <v>34500</v>
      </c>
      <c r="H32" s="89"/>
    </row>
    <row r="33" spans="1:9" x14ac:dyDescent="0.25">
      <c r="A33" s="136" t="s">
        <v>10</v>
      </c>
      <c r="B33" s="137" t="s">
        <v>288</v>
      </c>
      <c r="C33" s="138">
        <f t="shared" ref="C33:F35" si="1">SUM(C27,C30)</f>
        <v>32500</v>
      </c>
      <c r="D33" s="138">
        <f t="shared" si="1"/>
        <v>20000</v>
      </c>
      <c r="E33" s="138">
        <f t="shared" si="1"/>
        <v>30000</v>
      </c>
      <c r="F33" s="139">
        <f t="shared" si="1"/>
        <v>15000</v>
      </c>
      <c r="G33" s="140"/>
      <c r="H33" s="141"/>
    </row>
    <row r="34" spans="1:9" x14ac:dyDescent="0.25">
      <c r="A34" s="142"/>
      <c r="B34" s="143" t="s">
        <v>289</v>
      </c>
      <c r="C34" s="140">
        <f t="shared" si="1"/>
        <v>15000</v>
      </c>
      <c r="D34" s="140">
        <f t="shared" si="1"/>
        <v>25000</v>
      </c>
      <c r="E34" s="140">
        <f t="shared" si="1"/>
        <v>15000</v>
      </c>
      <c r="F34" s="144">
        <f t="shared" si="1"/>
        <v>24000</v>
      </c>
      <c r="G34" s="140"/>
      <c r="H34" s="141"/>
    </row>
    <row r="35" spans="1:9" ht="13.2" thickBot="1" x14ac:dyDescent="0.3">
      <c r="A35" s="142"/>
      <c r="B35" s="143" t="s">
        <v>290</v>
      </c>
      <c r="C35" s="145">
        <f t="shared" si="1"/>
        <v>20000</v>
      </c>
      <c r="D35" s="145">
        <f t="shared" si="1"/>
        <v>20000</v>
      </c>
      <c r="E35" s="145">
        <f t="shared" si="1"/>
        <v>14500</v>
      </c>
      <c r="F35" s="146">
        <f t="shared" si="1"/>
        <v>20000</v>
      </c>
      <c r="G35" s="140"/>
      <c r="H35" s="141"/>
    </row>
    <row r="36" spans="1:9" x14ac:dyDescent="0.25">
      <c r="A36" s="129" t="s">
        <v>193</v>
      </c>
      <c r="B36" s="143" t="s">
        <v>288</v>
      </c>
      <c r="C36" s="147">
        <v>35000</v>
      </c>
      <c r="D36" s="148">
        <v>20000</v>
      </c>
      <c r="E36" s="148">
        <v>30000</v>
      </c>
      <c r="F36" s="149">
        <v>15000</v>
      </c>
      <c r="G36" s="140"/>
      <c r="H36" s="141"/>
    </row>
    <row r="37" spans="1:9" x14ac:dyDescent="0.25">
      <c r="A37" s="129"/>
      <c r="B37" s="143" t="s">
        <v>289</v>
      </c>
      <c r="C37" s="150">
        <v>30000</v>
      </c>
      <c r="D37" s="140">
        <v>25000</v>
      </c>
      <c r="E37" s="140">
        <v>15000</v>
      </c>
      <c r="F37" s="144">
        <v>24000</v>
      </c>
      <c r="G37" s="140"/>
      <c r="H37" s="141"/>
    </row>
    <row r="38" spans="1:9" ht="13.2" thickBot="1" x14ac:dyDescent="0.3">
      <c r="A38" s="133"/>
      <c r="B38" s="151" t="s">
        <v>290</v>
      </c>
      <c r="C38" s="152">
        <v>20000</v>
      </c>
      <c r="D38" s="153">
        <v>20000</v>
      </c>
      <c r="E38" s="153">
        <v>25000</v>
      </c>
      <c r="F38" s="154">
        <v>20000</v>
      </c>
      <c r="G38" s="140"/>
      <c r="H38" s="141"/>
    </row>
    <row r="39" spans="1:9" x14ac:dyDescent="0.25">
      <c r="A39" s="155"/>
      <c r="B39" s="88"/>
      <c r="C39" s="88"/>
      <c r="D39" s="88"/>
      <c r="E39" s="88"/>
      <c r="F39" s="88"/>
      <c r="G39" s="88"/>
      <c r="H39" s="89"/>
    </row>
    <row r="40" spans="1:9" ht="13.2" thickBot="1" x14ac:dyDescent="0.3">
      <c r="A40" s="155"/>
      <c r="B40" s="88"/>
      <c r="C40" s="88"/>
      <c r="D40" s="88"/>
      <c r="E40" s="156"/>
      <c r="F40" s="88"/>
      <c r="G40" s="157"/>
      <c r="H40" s="158" t="s">
        <v>193</v>
      </c>
      <c r="I40" s="159"/>
    </row>
    <row r="41" spans="1:9" x14ac:dyDescent="0.25">
      <c r="A41" s="155"/>
      <c r="B41" s="88"/>
      <c r="C41" s="160" t="s">
        <v>298</v>
      </c>
      <c r="D41" s="161"/>
      <c r="E41" s="162"/>
      <c r="F41" s="163" t="s">
        <v>288</v>
      </c>
      <c r="G41" s="139">
        <f t="shared" ref="G41:G46" si="2">SUM(G27)</f>
        <v>47500</v>
      </c>
      <c r="H41" s="139">
        <v>90000</v>
      </c>
      <c r="I41" s="159"/>
    </row>
    <row r="42" spans="1:9" x14ac:dyDescent="0.25">
      <c r="A42" s="155"/>
      <c r="B42" s="88"/>
      <c r="C42" s="143"/>
      <c r="D42" s="164"/>
      <c r="E42" s="156"/>
      <c r="F42" s="116" t="s">
        <v>289</v>
      </c>
      <c r="G42" s="144">
        <f t="shared" si="2"/>
        <v>40000</v>
      </c>
      <c r="H42" s="144">
        <v>100000</v>
      </c>
      <c r="I42" s="159"/>
    </row>
    <row r="43" spans="1:9" ht="13.2" thickBot="1" x14ac:dyDescent="0.3">
      <c r="A43" s="155"/>
      <c r="B43" s="88"/>
      <c r="C43" s="151"/>
      <c r="D43" s="165"/>
      <c r="E43" s="166"/>
      <c r="F43" s="167" t="s">
        <v>290</v>
      </c>
      <c r="G43" s="154">
        <f t="shared" si="2"/>
        <v>40000</v>
      </c>
      <c r="H43" s="144">
        <v>80000</v>
      </c>
      <c r="I43" s="159"/>
    </row>
    <row r="44" spans="1:9" x14ac:dyDescent="0.25">
      <c r="A44" s="155"/>
      <c r="B44" s="88"/>
      <c r="C44" s="160" t="s">
        <v>299</v>
      </c>
      <c r="D44" s="161"/>
      <c r="E44" s="81"/>
      <c r="F44" s="163" t="s">
        <v>288</v>
      </c>
      <c r="G44" s="139">
        <f t="shared" si="2"/>
        <v>50000</v>
      </c>
      <c r="H44" s="144">
        <v>75000</v>
      </c>
      <c r="I44" s="159"/>
    </row>
    <row r="45" spans="1:9" x14ac:dyDescent="0.25">
      <c r="A45" s="155"/>
      <c r="B45" s="88"/>
      <c r="C45" s="168"/>
      <c r="D45" s="164"/>
      <c r="E45" s="88"/>
      <c r="F45" s="116" t="s">
        <v>289</v>
      </c>
      <c r="G45" s="144">
        <f t="shared" si="2"/>
        <v>39000</v>
      </c>
      <c r="H45" s="144">
        <v>65000</v>
      </c>
      <c r="I45" s="159"/>
    </row>
    <row r="46" spans="1:9" ht="13.2" thickBot="1" x14ac:dyDescent="0.3">
      <c r="A46" s="155"/>
      <c r="B46" s="88"/>
      <c r="C46" s="169"/>
      <c r="D46" s="170"/>
      <c r="E46" s="170"/>
      <c r="F46" s="167" t="s">
        <v>290</v>
      </c>
      <c r="G46" s="154">
        <f t="shared" si="2"/>
        <v>34500</v>
      </c>
      <c r="H46" s="154">
        <v>90000</v>
      </c>
      <c r="I46" s="159"/>
    </row>
    <row r="47" spans="1:9" ht="13.2" thickBot="1" x14ac:dyDescent="0.3">
      <c r="A47" s="155"/>
      <c r="B47" s="88"/>
      <c r="C47" s="156"/>
      <c r="D47" s="88"/>
      <c r="E47" s="88"/>
      <c r="F47" s="88"/>
      <c r="G47" s="88"/>
      <c r="H47" s="89"/>
      <c r="I47" s="159"/>
    </row>
    <row r="48" spans="1:9" ht="13.2" thickBot="1" x14ac:dyDescent="0.3">
      <c r="A48" s="155"/>
      <c r="B48" s="88"/>
      <c r="C48" s="164"/>
      <c r="D48" s="121" t="s">
        <v>281</v>
      </c>
      <c r="E48" s="164"/>
      <c r="F48" s="164"/>
      <c r="G48" s="164"/>
      <c r="H48" s="89"/>
    </row>
    <row r="49" spans="1:9" ht="13.2" thickBot="1" x14ac:dyDescent="0.3">
      <c r="A49" s="90" t="s">
        <v>282</v>
      </c>
      <c r="B49" s="88"/>
      <c r="C49" s="171" t="s">
        <v>292</v>
      </c>
      <c r="D49" s="171" t="s">
        <v>293</v>
      </c>
      <c r="E49" s="171" t="s">
        <v>294</v>
      </c>
      <c r="F49" s="171" t="s">
        <v>295</v>
      </c>
      <c r="G49" s="171" t="s">
        <v>296</v>
      </c>
      <c r="H49" s="158" t="s">
        <v>10</v>
      </c>
    </row>
    <row r="50" spans="1:9" ht="14.4" x14ac:dyDescent="0.3">
      <c r="A50" s="172" t="s">
        <v>283</v>
      </c>
      <c r="B50" s="137" t="s">
        <v>288</v>
      </c>
      <c r="C50" s="173">
        <v>0</v>
      </c>
      <c r="D50" s="173">
        <v>12000</v>
      </c>
      <c r="E50" s="173">
        <v>7500</v>
      </c>
      <c r="F50" s="173">
        <v>13000</v>
      </c>
      <c r="G50" s="173">
        <v>0</v>
      </c>
      <c r="H50" s="174">
        <f t="shared" ref="H50:H61" si="3">SUM(C50:G50)</f>
        <v>32500</v>
      </c>
      <c r="I50" s="175">
        <f>C33</f>
        <v>32500</v>
      </c>
    </row>
    <row r="51" spans="1:9" ht="14.4" x14ac:dyDescent="0.3">
      <c r="A51" s="176"/>
      <c r="B51" s="143" t="s">
        <v>289</v>
      </c>
      <c r="C51" s="130">
        <v>10000</v>
      </c>
      <c r="D51" s="130">
        <v>5000</v>
      </c>
      <c r="E51" s="130">
        <v>0</v>
      </c>
      <c r="F51" s="130">
        <v>0</v>
      </c>
      <c r="G51" s="130">
        <v>0</v>
      </c>
      <c r="H51" s="144">
        <f t="shared" si="3"/>
        <v>15000</v>
      </c>
      <c r="I51" s="177">
        <f>C34</f>
        <v>15000</v>
      </c>
    </row>
    <row r="52" spans="1:9" ht="15" thickBot="1" x14ac:dyDescent="0.35">
      <c r="A52" s="178"/>
      <c r="B52" s="151" t="s">
        <v>290</v>
      </c>
      <c r="C52" s="134">
        <v>0</v>
      </c>
      <c r="D52" s="134">
        <v>11000</v>
      </c>
      <c r="E52" s="134">
        <v>0</v>
      </c>
      <c r="F52" s="134">
        <v>9000</v>
      </c>
      <c r="G52" s="134">
        <v>0</v>
      </c>
      <c r="H52" s="144">
        <f t="shared" si="3"/>
        <v>20000</v>
      </c>
      <c r="I52" s="177">
        <f>C35</f>
        <v>20000</v>
      </c>
    </row>
    <row r="53" spans="1:9" ht="14.4" x14ac:dyDescent="0.3">
      <c r="A53" s="172" t="s">
        <v>284</v>
      </c>
      <c r="B53" s="137" t="s">
        <v>288</v>
      </c>
      <c r="C53" s="173">
        <v>0</v>
      </c>
      <c r="D53" s="173">
        <v>0</v>
      </c>
      <c r="E53" s="173">
        <v>0</v>
      </c>
      <c r="F53" s="173">
        <v>19000</v>
      </c>
      <c r="G53" s="173">
        <v>1000</v>
      </c>
      <c r="H53" s="144">
        <f t="shared" si="3"/>
        <v>20000</v>
      </c>
      <c r="I53" s="177">
        <f>D33</f>
        <v>20000</v>
      </c>
    </row>
    <row r="54" spans="1:9" ht="14.4" x14ac:dyDescent="0.3">
      <c r="A54" s="176"/>
      <c r="B54" s="143" t="s">
        <v>289</v>
      </c>
      <c r="C54" s="130">
        <v>0</v>
      </c>
      <c r="D54" s="130">
        <v>13000</v>
      </c>
      <c r="E54" s="130">
        <v>0</v>
      </c>
      <c r="F54" s="130">
        <v>12000</v>
      </c>
      <c r="G54" s="130">
        <v>0</v>
      </c>
      <c r="H54" s="144">
        <f t="shared" si="3"/>
        <v>25000</v>
      </c>
      <c r="I54" s="177">
        <f>D34</f>
        <v>25000</v>
      </c>
    </row>
    <row r="55" spans="1:9" ht="15" thickBot="1" x14ac:dyDescent="0.35">
      <c r="A55" s="178"/>
      <c r="B55" s="151" t="s">
        <v>290</v>
      </c>
      <c r="C55" s="134">
        <v>4000</v>
      </c>
      <c r="D55" s="134">
        <v>0</v>
      </c>
      <c r="E55" s="134">
        <v>16000</v>
      </c>
      <c r="F55" s="134">
        <v>0</v>
      </c>
      <c r="G55" s="134">
        <v>0</v>
      </c>
      <c r="H55" s="144">
        <f t="shared" si="3"/>
        <v>20000</v>
      </c>
      <c r="I55" s="177">
        <f>D35</f>
        <v>20000</v>
      </c>
    </row>
    <row r="56" spans="1:9" ht="14.4" x14ac:dyDescent="0.3">
      <c r="A56" s="172" t="s">
        <v>285</v>
      </c>
      <c r="B56" s="137" t="s">
        <v>288</v>
      </c>
      <c r="C56" s="173">
        <v>30000</v>
      </c>
      <c r="D56" s="173">
        <v>0</v>
      </c>
      <c r="E56" s="173">
        <v>0</v>
      </c>
      <c r="F56" s="173">
        <v>0</v>
      </c>
      <c r="G56" s="173">
        <v>0</v>
      </c>
      <c r="H56" s="144">
        <f t="shared" si="3"/>
        <v>30000</v>
      </c>
      <c r="I56" s="177">
        <f>E33</f>
        <v>30000</v>
      </c>
    </row>
    <row r="57" spans="1:9" ht="14.4" x14ac:dyDescent="0.3">
      <c r="A57" s="176"/>
      <c r="B57" s="143" t="s">
        <v>289</v>
      </c>
      <c r="C57" s="130">
        <v>10000</v>
      </c>
      <c r="D57" s="130">
        <v>0</v>
      </c>
      <c r="E57" s="130">
        <v>0</v>
      </c>
      <c r="F57" s="130">
        <v>0</v>
      </c>
      <c r="G57" s="130">
        <v>5000</v>
      </c>
      <c r="H57" s="144">
        <f t="shared" si="3"/>
        <v>15000</v>
      </c>
      <c r="I57" s="177">
        <f>E34</f>
        <v>15000</v>
      </c>
    </row>
    <row r="58" spans="1:9" ht="15" thickBot="1" x14ac:dyDescent="0.35">
      <c r="A58" s="178"/>
      <c r="B58" s="151" t="s">
        <v>290</v>
      </c>
      <c r="C58" s="134">
        <v>8500</v>
      </c>
      <c r="D58" s="134">
        <v>0</v>
      </c>
      <c r="E58" s="134">
        <v>0</v>
      </c>
      <c r="F58" s="134">
        <v>0</v>
      </c>
      <c r="G58" s="134">
        <v>6000</v>
      </c>
      <c r="H58" s="144">
        <f t="shared" si="3"/>
        <v>14500</v>
      </c>
      <c r="I58" s="177">
        <f>E35</f>
        <v>14500</v>
      </c>
    </row>
    <row r="59" spans="1:9" ht="14.4" x14ac:dyDescent="0.3">
      <c r="A59" s="172" t="s">
        <v>286</v>
      </c>
      <c r="B59" s="137" t="s">
        <v>288</v>
      </c>
      <c r="C59" s="173">
        <v>0</v>
      </c>
      <c r="D59" s="173">
        <v>0</v>
      </c>
      <c r="E59" s="173">
        <v>0</v>
      </c>
      <c r="F59" s="173">
        <v>0</v>
      </c>
      <c r="G59" s="173">
        <v>15000</v>
      </c>
      <c r="H59" s="144">
        <f t="shared" si="3"/>
        <v>15000</v>
      </c>
      <c r="I59" s="177">
        <f>F33</f>
        <v>15000</v>
      </c>
    </row>
    <row r="60" spans="1:9" ht="14.4" x14ac:dyDescent="0.3">
      <c r="A60" s="176"/>
      <c r="B60" s="143" t="s">
        <v>289</v>
      </c>
      <c r="C60" s="130">
        <v>0</v>
      </c>
      <c r="D60" s="130">
        <v>0</v>
      </c>
      <c r="E60" s="130">
        <v>11000</v>
      </c>
      <c r="F60" s="130">
        <v>0</v>
      </c>
      <c r="G60" s="130">
        <v>13000</v>
      </c>
      <c r="H60" s="144">
        <f t="shared" si="3"/>
        <v>24000</v>
      </c>
      <c r="I60" s="177">
        <f>F34</f>
        <v>24000</v>
      </c>
    </row>
    <row r="61" spans="1:9" ht="15" thickBot="1" x14ac:dyDescent="0.35">
      <c r="A61" s="178"/>
      <c r="B61" s="151" t="s">
        <v>290</v>
      </c>
      <c r="C61" s="134">
        <v>0</v>
      </c>
      <c r="D61" s="134">
        <v>0</v>
      </c>
      <c r="E61" s="134">
        <v>0</v>
      </c>
      <c r="F61" s="134">
        <v>1000</v>
      </c>
      <c r="G61" s="134">
        <v>19000</v>
      </c>
      <c r="H61" s="179">
        <f t="shared" si="3"/>
        <v>20000</v>
      </c>
      <c r="I61" s="180">
        <f>F35</f>
        <v>20000</v>
      </c>
    </row>
    <row r="62" spans="1:9" x14ac:dyDescent="0.25">
      <c r="A62" s="136" t="s">
        <v>10</v>
      </c>
      <c r="B62" s="161" t="s">
        <v>288</v>
      </c>
      <c r="C62" s="138">
        <f>SUM(C50,C53,C56,C59)</f>
        <v>30000</v>
      </c>
      <c r="D62" s="138">
        <f>SUM(D50,D53,D56,D59)</f>
        <v>12000</v>
      </c>
      <c r="E62" s="138">
        <f>SUM(E50,E53,E56,E59)</f>
        <v>7500</v>
      </c>
      <c r="F62" s="138">
        <f>SUM(F50,F53,F56,F59)</f>
        <v>32000</v>
      </c>
      <c r="G62" s="139">
        <f>SUM(G50,G53,G56,G59)</f>
        <v>16000</v>
      </c>
      <c r="H62" s="144"/>
      <c r="I62" s="159"/>
    </row>
    <row r="63" spans="1:9" x14ac:dyDescent="0.25">
      <c r="A63" s="142"/>
      <c r="B63" s="164" t="s">
        <v>289</v>
      </c>
      <c r="C63" s="140">
        <f t="shared" ref="C63:G64" si="4">SUM(C51,C54,C57,C60)</f>
        <v>20000</v>
      </c>
      <c r="D63" s="140">
        <f t="shared" si="4"/>
        <v>18000</v>
      </c>
      <c r="E63" s="140">
        <f t="shared" si="4"/>
        <v>11000</v>
      </c>
      <c r="F63" s="140">
        <f t="shared" si="4"/>
        <v>12000</v>
      </c>
      <c r="G63" s="144">
        <f t="shared" si="4"/>
        <v>18000</v>
      </c>
      <c r="H63" s="144"/>
      <c r="I63" s="159"/>
    </row>
    <row r="64" spans="1:9" ht="13.2" thickBot="1" x14ac:dyDescent="0.3">
      <c r="A64" s="142"/>
      <c r="B64" s="164" t="s">
        <v>290</v>
      </c>
      <c r="C64" s="145">
        <f t="shared" si="4"/>
        <v>12500</v>
      </c>
      <c r="D64" s="145">
        <f t="shared" si="4"/>
        <v>11000</v>
      </c>
      <c r="E64" s="145">
        <f t="shared" si="4"/>
        <v>16000</v>
      </c>
      <c r="F64" s="145">
        <f t="shared" si="4"/>
        <v>10000</v>
      </c>
      <c r="G64" s="146">
        <f>SUM(G52,G55,G58,G61)</f>
        <v>25000</v>
      </c>
      <c r="H64" s="144"/>
      <c r="I64" s="159"/>
    </row>
    <row r="65" spans="1:9" x14ac:dyDescent="0.25">
      <c r="A65" s="129" t="s">
        <v>300</v>
      </c>
      <c r="B65" s="164" t="s">
        <v>288</v>
      </c>
      <c r="C65" s="147">
        <v>30000</v>
      </c>
      <c r="D65" s="148">
        <v>12000</v>
      </c>
      <c r="E65" s="148">
        <v>7500</v>
      </c>
      <c r="F65" s="148">
        <v>32000</v>
      </c>
      <c r="G65" s="149">
        <v>16000</v>
      </c>
      <c r="H65" s="144"/>
      <c r="I65" s="159"/>
    </row>
    <row r="66" spans="1:9" x14ac:dyDescent="0.25">
      <c r="A66" s="129"/>
      <c r="B66" s="164" t="s">
        <v>289</v>
      </c>
      <c r="C66" s="150">
        <v>20000</v>
      </c>
      <c r="D66" s="140">
        <v>18000</v>
      </c>
      <c r="E66" s="140">
        <v>11000</v>
      </c>
      <c r="F66" s="140">
        <v>12000</v>
      </c>
      <c r="G66" s="144">
        <v>18000</v>
      </c>
      <c r="H66" s="144"/>
      <c r="I66" s="159"/>
    </row>
    <row r="67" spans="1:9" ht="13.2" thickBot="1" x14ac:dyDescent="0.3">
      <c r="A67" s="133"/>
      <c r="B67" s="165" t="s">
        <v>290</v>
      </c>
      <c r="C67" s="152">
        <v>12500</v>
      </c>
      <c r="D67" s="153">
        <v>11000</v>
      </c>
      <c r="E67" s="153">
        <v>16000</v>
      </c>
      <c r="F67" s="153">
        <v>10000</v>
      </c>
      <c r="G67" s="154">
        <v>25000</v>
      </c>
      <c r="H67" s="144"/>
      <c r="I67" s="159"/>
    </row>
    <row r="68" spans="1:9" ht="13.2" thickBot="1" x14ac:dyDescent="0.3">
      <c r="A68" s="143"/>
      <c r="B68" s="164"/>
      <c r="C68" s="88"/>
      <c r="D68" s="88"/>
      <c r="E68" s="88"/>
      <c r="F68" s="88"/>
      <c r="G68" s="88"/>
      <c r="H68" s="89"/>
    </row>
    <row r="69" spans="1:9" ht="13.8" thickTop="1" thickBot="1" x14ac:dyDescent="0.3">
      <c r="A69" s="181" t="s">
        <v>301</v>
      </c>
      <c r="B69" s="182"/>
      <c r="C69" s="183">
        <f>SUMPRODUCT(C5:F10,C27:F32)+SUMPRODUCT(C12:G23,C50:G61)</f>
        <v>401549.99895393848</v>
      </c>
      <c r="D69" s="170"/>
      <c r="E69" s="170"/>
      <c r="F69" s="170"/>
      <c r="G69" s="170"/>
      <c r="H69" s="184"/>
    </row>
    <row r="71" spans="1:9" x14ac:dyDescent="0.25">
      <c r="A71" s="185"/>
      <c r="B71" s="185"/>
      <c r="C71" s="185"/>
      <c r="D71" s="185"/>
      <c r="E71" s="185"/>
      <c r="F71" s="185"/>
      <c r="G71" s="185"/>
      <c r="H71" s="185"/>
      <c r="I71" s="88"/>
    </row>
    <row r="72" spans="1:9" x14ac:dyDescent="0.25">
      <c r="A72" s="186"/>
      <c r="B72" s="185"/>
      <c r="C72" s="185"/>
      <c r="D72" s="185"/>
      <c r="E72" s="185"/>
      <c r="F72" s="185"/>
      <c r="G72" s="185"/>
      <c r="H72" s="185"/>
      <c r="I72" s="88"/>
    </row>
    <row r="73" spans="1:9" x14ac:dyDescent="0.25">
      <c r="A73" s="187"/>
      <c r="B73" s="185"/>
      <c r="C73" s="185"/>
      <c r="D73" s="185"/>
      <c r="E73" s="185"/>
      <c r="F73" s="185"/>
      <c r="G73" s="185"/>
      <c r="H73" s="185"/>
      <c r="I73" s="88"/>
    </row>
    <row r="74" spans="1:9" x14ac:dyDescent="0.25">
      <c r="A74" s="187"/>
      <c r="B74" s="185"/>
      <c r="C74" s="185"/>
      <c r="D74" s="185"/>
      <c r="E74" s="185"/>
      <c r="F74" s="185"/>
      <c r="G74" s="185"/>
      <c r="H74" s="185"/>
      <c r="I74" s="88"/>
    </row>
    <row r="75" spans="1:9" x14ac:dyDescent="0.25">
      <c r="A75" s="187"/>
      <c r="B75" s="185"/>
      <c r="C75" s="185"/>
      <c r="D75" s="185"/>
      <c r="E75" s="185"/>
      <c r="F75" s="185"/>
      <c r="G75" s="185"/>
      <c r="H75" s="185"/>
      <c r="I75" s="88"/>
    </row>
    <row r="76" spans="1:9" x14ac:dyDescent="0.25">
      <c r="A76" s="186"/>
      <c r="B76" s="185"/>
      <c r="C76" s="185"/>
      <c r="D76" s="185"/>
      <c r="E76" s="185"/>
      <c r="F76" s="185"/>
      <c r="G76" s="185"/>
      <c r="H76" s="185"/>
      <c r="I76" s="88"/>
    </row>
    <row r="77" spans="1:9" x14ac:dyDescent="0.25">
      <c r="A77" s="187"/>
      <c r="B77" s="185"/>
      <c r="C77" s="185"/>
      <c r="D77" s="185"/>
      <c r="E77" s="185"/>
      <c r="F77" s="185"/>
      <c r="G77" s="185"/>
      <c r="H77" s="185"/>
      <c r="I77" s="88"/>
    </row>
    <row r="78" spans="1:9" x14ac:dyDescent="0.25">
      <c r="A78" s="187"/>
      <c r="B78" s="185"/>
      <c r="C78" s="185"/>
      <c r="D78" s="185"/>
      <c r="E78" s="185"/>
      <c r="F78" s="185"/>
      <c r="G78" s="185"/>
      <c r="H78" s="185"/>
      <c r="I78" s="88"/>
    </row>
    <row r="79" spans="1:9" x14ac:dyDescent="0.25">
      <c r="A79" s="187"/>
      <c r="B79" s="185"/>
      <c r="C79" s="185"/>
      <c r="D79" s="185"/>
      <c r="E79" s="185"/>
      <c r="F79" s="185"/>
      <c r="G79" s="185"/>
      <c r="H79" s="185"/>
      <c r="I79" s="88"/>
    </row>
    <row r="80" spans="1:9" x14ac:dyDescent="0.25">
      <c r="A80" s="187"/>
      <c r="B80" s="185"/>
      <c r="C80" s="185"/>
      <c r="D80" s="185"/>
      <c r="E80" s="185"/>
      <c r="F80" s="185"/>
      <c r="G80" s="185"/>
      <c r="H80" s="185"/>
      <c r="I80" s="88"/>
    </row>
    <row r="81" spans="1:9" x14ac:dyDescent="0.25">
      <c r="A81" s="186"/>
      <c r="B81" s="185"/>
      <c r="C81" s="185"/>
      <c r="D81" s="185"/>
      <c r="E81" s="185"/>
      <c r="F81" s="185"/>
      <c r="G81" s="185"/>
      <c r="H81" s="185"/>
      <c r="I81" s="88"/>
    </row>
    <row r="82" spans="1:9" x14ac:dyDescent="0.25">
      <c r="A82" s="187"/>
      <c r="B82" s="185"/>
      <c r="C82" s="185"/>
      <c r="D82" s="185"/>
      <c r="E82" s="185"/>
      <c r="F82" s="185"/>
      <c r="G82" s="185"/>
      <c r="H82" s="185"/>
      <c r="I82" s="88"/>
    </row>
    <row r="83" spans="1:9" x14ac:dyDescent="0.25">
      <c r="A83" s="187"/>
      <c r="B83" s="185"/>
      <c r="C83" s="185"/>
      <c r="D83" s="185"/>
      <c r="E83" s="185"/>
      <c r="F83" s="185"/>
      <c r="G83" s="185"/>
      <c r="H83" s="185"/>
      <c r="I83" s="88"/>
    </row>
    <row r="84" spans="1:9" x14ac:dyDescent="0.25">
      <c r="A84" s="187"/>
      <c r="B84" s="185"/>
      <c r="C84" s="185"/>
      <c r="D84" s="185"/>
      <c r="E84" s="185"/>
      <c r="F84" s="185"/>
      <c r="G84" s="185"/>
      <c r="H84" s="185"/>
      <c r="I84" s="88"/>
    </row>
    <row r="85" spans="1:9" x14ac:dyDescent="0.25">
      <c r="A85" s="187"/>
      <c r="B85" s="185"/>
      <c r="C85" s="185"/>
      <c r="D85" s="185"/>
      <c r="E85" s="185"/>
      <c r="F85" s="185"/>
      <c r="G85" s="185"/>
      <c r="H85" s="185"/>
      <c r="I85" s="88"/>
    </row>
    <row r="86" spans="1:9" x14ac:dyDescent="0.25">
      <c r="A86" s="187"/>
      <c r="B86" s="185"/>
      <c r="C86" s="185"/>
      <c r="D86" s="185"/>
      <c r="E86" s="185"/>
      <c r="F86" s="185"/>
      <c r="G86" s="185"/>
      <c r="H86" s="185"/>
      <c r="I86" s="88"/>
    </row>
    <row r="87" spans="1:9" x14ac:dyDescent="0.25">
      <c r="A87" s="185"/>
      <c r="B87" s="185"/>
      <c r="C87" s="185"/>
      <c r="D87" s="185"/>
      <c r="E87" s="185"/>
      <c r="F87" s="185"/>
      <c r="G87" s="185"/>
      <c r="H87" s="185"/>
      <c r="I87" s="88"/>
    </row>
    <row r="88" spans="1:9" x14ac:dyDescent="0.25">
      <c r="A88" s="88"/>
      <c r="B88" s="88"/>
      <c r="C88" s="88"/>
      <c r="D88" s="88"/>
      <c r="E88" s="88"/>
      <c r="F88" s="88"/>
      <c r="G88" s="88"/>
      <c r="H88" s="88"/>
      <c r="I88" s="88"/>
    </row>
  </sheetData>
  <printOptions gridLinesSet="0"/>
  <pageMargins left="0.75" right="0.75" top="1" bottom="1" header="0.5" footer="0.5"/>
  <pageSetup orientation="portrait" horizontalDpi="1200" verticalDpi="4294967292" r:id="rId1"/>
  <headerFooter alignWithMargins="0">
    <oddHeader>&amp;F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1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23" sqref="F23"/>
    </sheetView>
  </sheetViews>
  <sheetFormatPr defaultRowHeight="14.4" x14ac:dyDescent="0.3"/>
  <cols>
    <col min="3" max="3" width="15.44140625" style="32" customWidth="1"/>
    <col min="4" max="4" width="26.5546875" style="4" customWidth="1"/>
    <col min="5" max="5" width="14.5546875" style="33" customWidth="1"/>
    <col min="6" max="6" width="19.44140625" style="4" customWidth="1"/>
    <col min="7" max="7" width="26.109375" style="4" bestFit="1" customWidth="1"/>
    <col min="8" max="8" width="9.109375" style="33"/>
    <col min="9" max="9" width="9.109375" style="37"/>
    <col min="10" max="10" width="11.88671875" style="4" customWidth="1"/>
    <col min="11" max="11" width="19.109375" style="36" customWidth="1"/>
    <col min="13" max="13" width="14.5546875" customWidth="1"/>
    <col min="14" max="14" width="21.44140625" customWidth="1"/>
    <col min="17" max="17" width="57.109375" customWidth="1"/>
  </cols>
  <sheetData>
    <row r="1" spans="1:17" ht="43.2" customHeight="1" x14ac:dyDescent="0.3">
      <c r="A1" s="4"/>
      <c r="C1" s="9"/>
      <c r="D1"/>
      <c r="E1" s="6"/>
      <c r="F1" s="62"/>
      <c r="G1"/>
      <c r="H1" s="6"/>
      <c r="I1" s="7"/>
      <c r="J1"/>
      <c r="K1" s="5"/>
    </row>
    <row r="2" spans="1:17" x14ac:dyDescent="0.3">
      <c r="C2" s="9"/>
      <c r="D2"/>
      <c r="E2" s="6"/>
      <c r="F2" s="62"/>
      <c r="G2"/>
      <c r="H2" s="6"/>
      <c r="I2" s="7"/>
      <c r="J2"/>
      <c r="K2" s="5"/>
    </row>
    <row r="3" spans="1:17" ht="28.5" customHeight="1" x14ac:dyDescent="0.3">
      <c r="C3" s="9"/>
      <c r="D3"/>
      <c r="E3" s="6"/>
      <c r="F3" s="62"/>
      <c r="G3"/>
      <c r="H3" s="6"/>
      <c r="I3" s="7"/>
      <c r="J3"/>
      <c r="K3" s="5"/>
    </row>
    <row r="4" spans="1:17" x14ac:dyDescent="0.3">
      <c r="C4" s="9"/>
      <c r="D4"/>
      <c r="E4" s="6"/>
      <c r="F4" s="62"/>
      <c r="G4"/>
      <c r="H4" s="6"/>
      <c r="I4" s="7"/>
      <c r="J4"/>
      <c r="K4" s="5"/>
    </row>
    <row r="5" spans="1:17" x14ac:dyDescent="0.3">
      <c r="C5" s="44" t="s">
        <v>11</v>
      </c>
      <c r="D5" s="45" t="s">
        <v>16</v>
      </c>
      <c r="E5" s="46" t="s">
        <v>12</v>
      </c>
      <c r="F5" s="63" t="s">
        <v>5</v>
      </c>
      <c r="G5" s="45" t="s">
        <v>65</v>
      </c>
      <c r="H5" s="46" t="s">
        <v>7</v>
      </c>
      <c r="I5" s="47" t="s">
        <v>8</v>
      </c>
      <c r="J5" s="45" t="s">
        <v>9</v>
      </c>
      <c r="K5" s="48" t="s">
        <v>10</v>
      </c>
      <c r="Q5" s="1"/>
    </row>
    <row r="6" spans="1:17" x14ac:dyDescent="0.3">
      <c r="C6" s="32">
        <v>42533</v>
      </c>
      <c r="D6" s="4" t="s">
        <v>116</v>
      </c>
      <c r="E6" s="33">
        <v>78</v>
      </c>
      <c r="F6" s="64" t="s">
        <v>163</v>
      </c>
      <c r="G6" s="34" t="s">
        <v>164</v>
      </c>
      <c r="H6" s="33">
        <v>0</v>
      </c>
      <c r="I6" s="35">
        <v>99</v>
      </c>
      <c r="J6" s="36">
        <v>8</v>
      </c>
      <c r="K6" s="36">
        <v>5544</v>
      </c>
    </row>
    <row r="7" spans="1:17" x14ac:dyDescent="0.3">
      <c r="C7" s="32">
        <v>42534</v>
      </c>
      <c r="D7" s="4" t="s">
        <v>116</v>
      </c>
      <c r="E7" s="33">
        <v>79</v>
      </c>
      <c r="F7" s="64" t="s">
        <v>163</v>
      </c>
      <c r="G7" s="34" t="s">
        <v>165</v>
      </c>
      <c r="H7" s="33">
        <v>57</v>
      </c>
      <c r="I7" s="35">
        <v>100</v>
      </c>
      <c r="J7" s="36">
        <v>9</v>
      </c>
      <c r="K7" s="36">
        <v>5700</v>
      </c>
    </row>
    <row r="8" spans="1:17" x14ac:dyDescent="0.3">
      <c r="C8" s="32">
        <v>42535</v>
      </c>
      <c r="D8" s="4" t="s">
        <v>116</v>
      </c>
      <c r="E8" s="33">
        <v>80</v>
      </c>
      <c r="F8" s="64" t="s">
        <v>163</v>
      </c>
      <c r="G8" s="34" t="s">
        <v>166</v>
      </c>
      <c r="H8" s="33">
        <v>58</v>
      </c>
      <c r="I8" s="35">
        <v>101</v>
      </c>
      <c r="J8" s="36">
        <v>10</v>
      </c>
      <c r="K8" s="36">
        <v>5858</v>
      </c>
    </row>
    <row r="9" spans="1:17" x14ac:dyDescent="0.3">
      <c r="C9" s="32">
        <v>42536</v>
      </c>
      <c r="D9" s="4" t="s">
        <v>116</v>
      </c>
      <c r="E9" s="33">
        <v>81</v>
      </c>
      <c r="F9" s="64" t="s">
        <v>163</v>
      </c>
      <c r="G9" s="34" t="s">
        <v>167</v>
      </c>
      <c r="H9" s="33">
        <v>59</v>
      </c>
      <c r="I9" s="35">
        <v>102</v>
      </c>
      <c r="J9" s="36">
        <v>11</v>
      </c>
      <c r="K9" s="36">
        <v>6018</v>
      </c>
    </row>
    <row r="10" spans="1:17" x14ac:dyDescent="0.3">
      <c r="C10" s="32">
        <v>42537</v>
      </c>
      <c r="D10" s="4" t="s">
        <v>116</v>
      </c>
      <c r="E10" s="33">
        <v>82</v>
      </c>
      <c r="F10" s="64" t="s">
        <v>163</v>
      </c>
      <c r="G10" s="34" t="s">
        <v>169</v>
      </c>
      <c r="H10" s="33">
        <v>60</v>
      </c>
      <c r="I10" s="35">
        <v>103</v>
      </c>
      <c r="J10" s="36">
        <v>18</v>
      </c>
      <c r="K10" s="36">
        <v>6180</v>
      </c>
    </row>
    <row r="11" spans="1:17" x14ac:dyDescent="0.3">
      <c r="C11" s="32">
        <v>42538</v>
      </c>
      <c r="D11" s="4" t="s">
        <v>116</v>
      </c>
      <c r="E11" s="33">
        <v>83</v>
      </c>
      <c r="F11" s="64" t="s">
        <v>163</v>
      </c>
      <c r="G11" s="34" t="s">
        <v>170</v>
      </c>
      <c r="H11" s="33">
        <v>61</v>
      </c>
      <c r="I11" s="35">
        <v>104</v>
      </c>
      <c r="J11" s="36">
        <v>19</v>
      </c>
      <c r="K11" s="36">
        <v>6344</v>
      </c>
    </row>
    <row r="12" spans="1:17" x14ac:dyDescent="0.3">
      <c r="C12" s="32">
        <v>42539</v>
      </c>
      <c r="D12" s="4" t="s">
        <v>116</v>
      </c>
      <c r="E12" s="33">
        <v>84</v>
      </c>
      <c r="F12" s="64" t="s">
        <v>163</v>
      </c>
      <c r="G12" s="34" t="s">
        <v>171</v>
      </c>
      <c r="H12" s="33">
        <v>62</v>
      </c>
      <c r="I12" s="35">
        <v>105</v>
      </c>
      <c r="J12" s="36">
        <v>20</v>
      </c>
      <c r="K12" s="36">
        <v>6510</v>
      </c>
    </row>
    <row r="13" spans="1:17" x14ac:dyDescent="0.3">
      <c r="C13" s="32">
        <v>42540</v>
      </c>
      <c r="D13" s="4" t="s">
        <v>116</v>
      </c>
      <c r="E13" s="33">
        <v>85</v>
      </c>
      <c r="F13" s="64" t="s">
        <v>163</v>
      </c>
      <c r="G13" s="34" t="s">
        <v>172</v>
      </c>
      <c r="H13" s="33">
        <v>63</v>
      </c>
      <c r="I13" s="35">
        <v>106</v>
      </c>
      <c r="J13" s="36">
        <v>21</v>
      </c>
      <c r="K13" s="36">
        <v>6678</v>
      </c>
    </row>
    <row r="14" spans="1:17" x14ac:dyDescent="0.3">
      <c r="C14" s="32">
        <v>42541</v>
      </c>
      <c r="D14" s="4" t="s">
        <v>117</v>
      </c>
      <c r="E14" s="33">
        <v>86</v>
      </c>
      <c r="F14" s="64" t="s">
        <v>163</v>
      </c>
      <c r="G14" s="34" t="s">
        <v>173</v>
      </c>
      <c r="H14" s="33">
        <v>64</v>
      </c>
      <c r="I14" s="35">
        <v>107</v>
      </c>
      <c r="J14" s="36">
        <v>5</v>
      </c>
      <c r="K14" s="36">
        <v>6848</v>
      </c>
    </row>
    <row r="15" spans="1:17" x14ac:dyDescent="0.3">
      <c r="C15" s="32">
        <v>42542</v>
      </c>
      <c r="D15" s="4" t="s">
        <v>117</v>
      </c>
      <c r="E15" s="33">
        <v>87</v>
      </c>
      <c r="F15" s="64" t="s">
        <v>163</v>
      </c>
      <c r="G15" s="34" t="s">
        <v>123</v>
      </c>
      <c r="H15" s="33">
        <v>65</v>
      </c>
      <c r="I15" s="35">
        <v>108</v>
      </c>
      <c r="J15" s="36">
        <v>7</v>
      </c>
      <c r="K15" s="36">
        <v>7020</v>
      </c>
    </row>
    <row r="16" spans="1:17" x14ac:dyDescent="0.3">
      <c r="C16" s="32">
        <v>42543</v>
      </c>
      <c r="D16" s="4" t="s">
        <v>88</v>
      </c>
      <c r="E16" s="33">
        <v>88</v>
      </c>
      <c r="F16" s="64" t="s">
        <v>163</v>
      </c>
      <c r="G16" s="34" t="s">
        <v>169</v>
      </c>
      <c r="H16" s="33">
        <v>66</v>
      </c>
      <c r="I16" s="35">
        <v>109</v>
      </c>
      <c r="J16" s="36">
        <v>8</v>
      </c>
      <c r="K16" s="36">
        <v>7194</v>
      </c>
    </row>
    <row r="17" spans="3:11" x14ac:dyDescent="0.3">
      <c r="C17" s="32">
        <v>42544</v>
      </c>
      <c r="D17" s="4" t="s">
        <v>121</v>
      </c>
      <c r="E17" s="33">
        <v>89</v>
      </c>
      <c r="F17" s="64" t="s">
        <v>163</v>
      </c>
      <c r="G17" s="34" t="s">
        <v>170</v>
      </c>
      <c r="H17" s="33">
        <v>67</v>
      </c>
      <c r="I17" s="35">
        <v>110</v>
      </c>
      <c r="J17" s="36">
        <v>9</v>
      </c>
      <c r="K17" s="36">
        <v>7370</v>
      </c>
    </row>
    <row r="18" spans="3:11" x14ac:dyDescent="0.3">
      <c r="C18" s="32">
        <v>42545</v>
      </c>
      <c r="D18" s="4" t="s">
        <v>119</v>
      </c>
      <c r="E18" s="33">
        <v>90</v>
      </c>
      <c r="F18" s="64" t="s">
        <v>163</v>
      </c>
      <c r="G18" s="34" t="s">
        <v>171</v>
      </c>
      <c r="H18" s="33">
        <v>68</v>
      </c>
      <c r="I18" s="35">
        <v>111</v>
      </c>
      <c r="J18" s="36">
        <v>10</v>
      </c>
      <c r="K18" s="36">
        <v>7548</v>
      </c>
    </row>
    <row r="19" spans="3:11" x14ac:dyDescent="0.3">
      <c r="C19" s="32">
        <v>42546</v>
      </c>
      <c r="D19" s="4" t="s">
        <v>89</v>
      </c>
      <c r="E19" s="33">
        <v>91</v>
      </c>
      <c r="F19" s="64" t="s">
        <v>163</v>
      </c>
      <c r="G19" s="34" t="s">
        <v>171</v>
      </c>
      <c r="H19" s="33">
        <v>69</v>
      </c>
      <c r="I19" s="35">
        <v>112</v>
      </c>
      <c r="J19" s="36">
        <v>11</v>
      </c>
      <c r="K19" s="36">
        <v>7728</v>
      </c>
    </row>
    <row r="20" spans="3:11" x14ac:dyDescent="0.3">
      <c r="C20" s="32">
        <v>42547</v>
      </c>
      <c r="D20" s="4" t="s">
        <v>90</v>
      </c>
      <c r="E20" s="33">
        <v>92</v>
      </c>
      <c r="F20" s="64" t="s">
        <v>163</v>
      </c>
      <c r="G20" s="34" t="s">
        <v>172</v>
      </c>
      <c r="H20" s="33">
        <v>70</v>
      </c>
      <c r="I20" s="35">
        <v>113</v>
      </c>
      <c r="J20" s="36">
        <v>20.5</v>
      </c>
      <c r="K20" s="36">
        <v>7910</v>
      </c>
    </row>
    <row r="21" spans="3:11" x14ac:dyDescent="0.3">
      <c r="C21" s="32">
        <v>42548</v>
      </c>
      <c r="D21" s="4" t="s">
        <v>91</v>
      </c>
      <c r="E21" s="33">
        <v>93</v>
      </c>
      <c r="F21" s="64" t="s">
        <v>163</v>
      </c>
      <c r="G21" s="34" t="s">
        <v>173</v>
      </c>
      <c r="H21" s="33">
        <v>71</v>
      </c>
      <c r="I21" s="35">
        <v>114</v>
      </c>
      <c r="J21" s="36">
        <v>21.5</v>
      </c>
      <c r="K21" s="36">
        <v>8094</v>
      </c>
    </row>
    <row r="22" spans="3:11" x14ac:dyDescent="0.3">
      <c r="C22" s="32">
        <v>42549</v>
      </c>
      <c r="D22" s="4" t="s">
        <v>118</v>
      </c>
      <c r="E22" s="33">
        <v>94</v>
      </c>
      <c r="F22" s="64" t="s">
        <v>163</v>
      </c>
      <c r="G22" s="34" t="s">
        <v>174</v>
      </c>
      <c r="H22" s="33">
        <v>72</v>
      </c>
      <c r="I22" s="35">
        <v>115</v>
      </c>
      <c r="J22" s="36">
        <v>22.5</v>
      </c>
      <c r="K22" s="36">
        <v>8280</v>
      </c>
    </row>
    <row r="23" spans="3:11" x14ac:dyDescent="0.3">
      <c r="C23" s="32">
        <v>42550</v>
      </c>
      <c r="D23" s="4" t="s">
        <v>118</v>
      </c>
      <c r="E23" s="33">
        <v>95</v>
      </c>
      <c r="F23" s="64" t="s">
        <v>162</v>
      </c>
      <c r="G23" s="34" t="s">
        <v>124</v>
      </c>
      <c r="H23" s="33">
        <v>73</v>
      </c>
      <c r="I23" s="35">
        <v>116</v>
      </c>
      <c r="J23" s="36">
        <v>140</v>
      </c>
      <c r="K23" s="36">
        <v>8468</v>
      </c>
    </row>
    <row r="24" spans="3:11" x14ac:dyDescent="0.3">
      <c r="C24" s="32">
        <v>42551</v>
      </c>
      <c r="D24" s="4" t="s">
        <v>118</v>
      </c>
      <c r="E24" s="33">
        <v>96</v>
      </c>
      <c r="F24" s="64" t="s">
        <v>162</v>
      </c>
      <c r="G24" s="34" t="s">
        <v>125</v>
      </c>
      <c r="H24" s="33">
        <v>74</v>
      </c>
      <c r="I24" s="35">
        <v>117</v>
      </c>
      <c r="J24" s="36">
        <v>141</v>
      </c>
      <c r="K24" s="36">
        <v>8658</v>
      </c>
    </row>
    <row r="25" spans="3:11" x14ac:dyDescent="0.3">
      <c r="C25" s="32">
        <v>42552</v>
      </c>
      <c r="D25" s="4" t="s">
        <v>118</v>
      </c>
      <c r="E25" s="33">
        <v>97</v>
      </c>
      <c r="F25" s="64" t="s">
        <v>162</v>
      </c>
      <c r="G25" s="34" t="s">
        <v>126</v>
      </c>
      <c r="H25" s="33">
        <v>75</v>
      </c>
      <c r="I25" s="35">
        <v>118</v>
      </c>
      <c r="J25" s="36">
        <v>145</v>
      </c>
      <c r="K25" s="36">
        <v>8850</v>
      </c>
    </row>
    <row r="26" spans="3:11" x14ac:dyDescent="0.3">
      <c r="C26" s="32">
        <v>42553</v>
      </c>
      <c r="D26" s="4" t="s">
        <v>118</v>
      </c>
      <c r="E26" s="33">
        <v>98</v>
      </c>
      <c r="F26" s="64" t="s">
        <v>162</v>
      </c>
      <c r="G26" s="34" t="s">
        <v>127</v>
      </c>
      <c r="H26" s="33">
        <v>76</v>
      </c>
      <c r="I26" s="35">
        <v>119</v>
      </c>
      <c r="J26" s="36">
        <v>16.2</v>
      </c>
      <c r="K26" s="36">
        <v>9044</v>
      </c>
    </row>
    <row r="27" spans="3:11" x14ac:dyDescent="0.3">
      <c r="C27" s="32">
        <v>42554</v>
      </c>
      <c r="D27" s="4" t="s">
        <v>118</v>
      </c>
      <c r="E27" s="33">
        <v>99</v>
      </c>
      <c r="F27" s="64" t="s">
        <v>162</v>
      </c>
      <c r="G27" s="34" t="s">
        <v>128</v>
      </c>
      <c r="H27" s="33">
        <v>77</v>
      </c>
      <c r="I27" s="35">
        <v>120</v>
      </c>
      <c r="J27" s="36">
        <v>17.2</v>
      </c>
      <c r="K27" s="36">
        <v>9240</v>
      </c>
    </row>
    <row r="28" spans="3:11" x14ac:dyDescent="0.3">
      <c r="C28" s="32">
        <v>42555</v>
      </c>
      <c r="D28" s="4" t="s">
        <v>118</v>
      </c>
      <c r="E28" s="33">
        <v>100</v>
      </c>
      <c r="F28" s="64" t="s">
        <v>162</v>
      </c>
      <c r="G28" s="34" t="s">
        <v>129</v>
      </c>
      <c r="H28" s="33">
        <v>78</v>
      </c>
      <c r="I28" s="35">
        <v>121</v>
      </c>
      <c r="J28" s="36">
        <v>18.2</v>
      </c>
      <c r="K28" s="36">
        <v>9438</v>
      </c>
    </row>
    <row r="29" spans="3:11" x14ac:dyDescent="0.3">
      <c r="C29" s="32">
        <v>42556</v>
      </c>
      <c r="D29" s="4" t="s">
        <v>117</v>
      </c>
      <c r="E29" s="33">
        <v>101</v>
      </c>
      <c r="F29" s="64" t="s">
        <v>162</v>
      </c>
      <c r="G29" s="34" t="s">
        <v>130</v>
      </c>
      <c r="H29" s="33">
        <v>79</v>
      </c>
      <c r="I29" s="35">
        <v>122</v>
      </c>
      <c r="J29" s="36">
        <v>19.2</v>
      </c>
      <c r="K29" s="36">
        <v>9638</v>
      </c>
    </row>
    <row r="30" spans="3:11" x14ac:dyDescent="0.3">
      <c r="C30" s="32">
        <v>42557</v>
      </c>
      <c r="D30" s="4" t="s">
        <v>117</v>
      </c>
      <c r="E30" s="33">
        <v>102</v>
      </c>
      <c r="F30" s="64" t="s">
        <v>162</v>
      </c>
      <c r="G30" s="34" t="s">
        <v>131</v>
      </c>
      <c r="H30" s="33">
        <v>80</v>
      </c>
      <c r="I30" s="35">
        <v>123</v>
      </c>
      <c r="J30" s="36">
        <v>20.2</v>
      </c>
      <c r="K30" s="36">
        <v>9840</v>
      </c>
    </row>
    <row r="31" spans="3:11" x14ac:dyDescent="0.3">
      <c r="C31" s="32">
        <v>42558</v>
      </c>
      <c r="D31" s="4" t="s">
        <v>117</v>
      </c>
      <c r="E31" s="33">
        <v>103</v>
      </c>
      <c r="F31" s="64" t="s">
        <v>157</v>
      </c>
      <c r="G31" s="34" t="s">
        <v>132</v>
      </c>
      <c r="H31" s="33">
        <v>81</v>
      </c>
      <c r="I31" s="35">
        <v>124</v>
      </c>
      <c r="J31" s="36">
        <v>46</v>
      </c>
      <c r="K31" s="36">
        <v>10044</v>
      </c>
    </row>
    <row r="32" spans="3:11" x14ac:dyDescent="0.3">
      <c r="C32" s="32">
        <v>42559</v>
      </c>
      <c r="D32" s="4" t="s">
        <v>117</v>
      </c>
      <c r="E32" s="33">
        <v>104</v>
      </c>
      <c r="F32" s="64" t="s">
        <v>157</v>
      </c>
      <c r="G32" s="34" t="s">
        <v>133</v>
      </c>
      <c r="H32" s="33">
        <v>82</v>
      </c>
      <c r="I32" s="35">
        <v>125</v>
      </c>
      <c r="J32" s="36">
        <v>47</v>
      </c>
      <c r="K32" s="36">
        <v>10250</v>
      </c>
    </row>
    <row r="33" spans="3:11" x14ac:dyDescent="0.3">
      <c r="C33" s="32">
        <v>42560</v>
      </c>
      <c r="D33" s="4" t="s">
        <v>119</v>
      </c>
      <c r="E33" s="33">
        <v>105</v>
      </c>
      <c r="F33" s="64" t="s">
        <v>157</v>
      </c>
      <c r="G33" s="34" t="s">
        <v>134</v>
      </c>
      <c r="H33" s="33">
        <v>83</v>
      </c>
      <c r="I33" s="35">
        <v>126</v>
      </c>
      <c r="J33" s="36">
        <v>48</v>
      </c>
      <c r="K33" s="36">
        <v>10458</v>
      </c>
    </row>
    <row r="34" spans="3:11" x14ac:dyDescent="0.3">
      <c r="C34" s="32">
        <v>42561</v>
      </c>
      <c r="D34" s="4" t="s">
        <v>119</v>
      </c>
      <c r="E34" s="33">
        <v>106</v>
      </c>
      <c r="F34" s="64" t="s">
        <v>157</v>
      </c>
      <c r="G34" s="34" t="s">
        <v>135</v>
      </c>
      <c r="H34" s="33">
        <v>84</v>
      </c>
      <c r="I34" s="35">
        <v>127</v>
      </c>
      <c r="J34" s="36">
        <v>49</v>
      </c>
      <c r="K34" s="36">
        <v>10668</v>
      </c>
    </row>
    <row r="35" spans="3:11" x14ac:dyDescent="0.3">
      <c r="C35" s="32">
        <v>42562</v>
      </c>
      <c r="D35" s="4" t="s">
        <v>119</v>
      </c>
      <c r="E35" s="33">
        <v>107</v>
      </c>
      <c r="F35" s="64" t="s">
        <v>157</v>
      </c>
      <c r="G35" s="34" t="s">
        <v>136</v>
      </c>
      <c r="H35" s="33">
        <v>85</v>
      </c>
      <c r="I35" s="35">
        <v>128</v>
      </c>
      <c r="J35" s="36">
        <v>50</v>
      </c>
      <c r="K35" s="36">
        <v>10880</v>
      </c>
    </row>
    <row r="36" spans="3:11" x14ac:dyDescent="0.3">
      <c r="C36" s="32">
        <v>42563</v>
      </c>
      <c r="D36" s="4" t="s">
        <v>119</v>
      </c>
      <c r="E36" s="33">
        <v>108</v>
      </c>
      <c r="F36" s="64" t="s">
        <v>157</v>
      </c>
      <c r="G36" s="34" t="s">
        <v>137</v>
      </c>
      <c r="H36" s="33">
        <v>86</v>
      </c>
      <c r="I36" s="35">
        <v>129</v>
      </c>
      <c r="J36" s="36">
        <v>51</v>
      </c>
      <c r="K36" s="36">
        <v>11094</v>
      </c>
    </row>
    <row r="37" spans="3:11" x14ac:dyDescent="0.3">
      <c r="C37" s="32">
        <v>42564</v>
      </c>
      <c r="D37" s="4" t="s">
        <v>119</v>
      </c>
      <c r="E37" s="33">
        <v>109</v>
      </c>
      <c r="F37" s="64" t="s">
        <v>157</v>
      </c>
      <c r="G37" s="34" t="s">
        <v>138</v>
      </c>
      <c r="H37" s="33">
        <v>87</v>
      </c>
      <c r="I37" s="35">
        <v>130</v>
      </c>
      <c r="J37" s="36">
        <v>9</v>
      </c>
      <c r="K37" s="36">
        <v>11310</v>
      </c>
    </row>
    <row r="38" spans="3:11" x14ac:dyDescent="0.3">
      <c r="C38" s="32">
        <v>42565</v>
      </c>
      <c r="D38" s="4" t="s">
        <v>119</v>
      </c>
      <c r="E38" s="33">
        <v>110</v>
      </c>
      <c r="F38" s="64" t="s">
        <v>157</v>
      </c>
      <c r="G38" s="34" t="s">
        <v>115</v>
      </c>
      <c r="H38" s="33">
        <v>88</v>
      </c>
      <c r="I38" s="35">
        <v>131</v>
      </c>
      <c r="J38" s="36">
        <v>10</v>
      </c>
      <c r="K38" s="36">
        <v>11528</v>
      </c>
    </row>
    <row r="39" spans="3:11" x14ac:dyDescent="0.3">
      <c r="C39" s="32">
        <v>42566</v>
      </c>
      <c r="D39" s="4" t="s">
        <v>119</v>
      </c>
      <c r="E39" s="33">
        <v>111</v>
      </c>
      <c r="F39" s="64" t="s">
        <v>157</v>
      </c>
      <c r="G39" s="34" t="s">
        <v>133</v>
      </c>
      <c r="H39" s="33">
        <v>89</v>
      </c>
      <c r="I39" s="35">
        <v>132</v>
      </c>
      <c r="J39" s="36">
        <v>11</v>
      </c>
      <c r="K39" s="36">
        <v>11748</v>
      </c>
    </row>
    <row r="40" spans="3:11" x14ac:dyDescent="0.3">
      <c r="C40" s="32">
        <v>42567</v>
      </c>
      <c r="D40" s="4" t="s">
        <v>119</v>
      </c>
      <c r="E40" s="33">
        <v>112</v>
      </c>
      <c r="F40" s="64" t="s">
        <v>157</v>
      </c>
      <c r="G40" s="34" t="s">
        <v>135</v>
      </c>
      <c r="H40" s="33">
        <v>33</v>
      </c>
      <c r="I40" s="35">
        <v>55</v>
      </c>
      <c r="J40" s="36">
        <v>12</v>
      </c>
      <c r="K40" s="36">
        <v>1815</v>
      </c>
    </row>
    <row r="41" spans="3:11" x14ac:dyDescent="0.3">
      <c r="C41" s="32">
        <v>42568</v>
      </c>
      <c r="D41" s="4" t="s">
        <v>119</v>
      </c>
      <c r="E41" s="33">
        <v>113</v>
      </c>
      <c r="F41" s="64" t="s">
        <v>157</v>
      </c>
      <c r="G41" s="34" t="s">
        <v>136</v>
      </c>
      <c r="H41" s="33">
        <v>34</v>
      </c>
      <c r="I41" s="35">
        <v>56</v>
      </c>
      <c r="J41" s="36">
        <v>13</v>
      </c>
      <c r="K41" s="36">
        <v>1904</v>
      </c>
    </row>
    <row r="42" spans="3:11" x14ac:dyDescent="0.3">
      <c r="C42" s="32">
        <v>42569</v>
      </c>
      <c r="D42" s="4" t="s">
        <v>119</v>
      </c>
      <c r="E42" s="33">
        <v>114</v>
      </c>
      <c r="F42" s="64" t="s">
        <v>157</v>
      </c>
      <c r="G42" s="34" t="s">
        <v>137</v>
      </c>
      <c r="H42" s="33">
        <v>35</v>
      </c>
      <c r="I42" s="35">
        <v>57</v>
      </c>
      <c r="J42" s="36">
        <v>14</v>
      </c>
      <c r="K42" s="36">
        <v>1995</v>
      </c>
    </row>
    <row r="43" spans="3:11" x14ac:dyDescent="0.3">
      <c r="C43" s="32">
        <v>42570</v>
      </c>
      <c r="D43" s="4" t="s">
        <v>119</v>
      </c>
      <c r="E43" s="33">
        <v>115</v>
      </c>
      <c r="F43" s="64" t="s">
        <v>157</v>
      </c>
      <c r="G43" s="34" t="s">
        <v>135</v>
      </c>
      <c r="H43" s="33">
        <v>36</v>
      </c>
      <c r="I43" s="35">
        <v>58</v>
      </c>
      <c r="J43" s="36">
        <v>15</v>
      </c>
      <c r="K43" s="36">
        <v>2088</v>
      </c>
    </row>
    <row r="44" spans="3:11" x14ac:dyDescent="0.3">
      <c r="C44" s="32">
        <v>42571</v>
      </c>
      <c r="D44" s="4" t="s">
        <v>119</v>
      </c>
      <c r="E44" s="33">
        <v>116</v>
      </c>
      <c r="F44" s="64" t="s">
        <v>157</v>
      </c>
      <c r="G44" s="34" t="s">
        <v>134</v>
      </c>
      <c r="H44" s="33">
        <v>37</v>
      </c>
      <c r="I44" s="35">
        <v>59</v>
      </c>
      <c r="J44" s="36">
        <v>16</v>
      </c>
      <c r="K44" s="36">
        <v>2183</v>
      </c>
    </row>
    <row r="45" spans="3:11" x14ac:dyDescent="0.3">
      <c r="C45" s="32">
        <v>42572</v>
      </c>
      <c r="D45" s="4" t="s">
        <v>120</v>
      </c>
      <c r="E45" s="33">
        <v>117</v>
      </c>
      <c r="F45" s="64" t="s">
        <v>157</v>
      </c>
      <c r="G45" s="34" t="s">
        <v>115</v>
      </c>
      <c r="H45" s="33">
        <v>38</v>
      </c>
      <c r="I45" s="35">
        <v>60</v>
      </c>
      <c r="J45" s="36">
        <v>17</v>
      </c>
      <c r="K45" s="36">
        <v>2280</v>
      </c>
    </row>
    <row r="46" spans="3:11" x14ac:dyDescent="0.3">
      <c r="C46" s="32">
        <v>42573</v>
      </c>
      <c r="D46" s="4" t="s">
        <v>120</v>
      </c>
      <c r="E46" s="33">
        <v>118</v>
      </c>
      <c r="F46" s="64" t="s">
        <v>157</v>
      </c>
      <c r="G46" s="34" t="s">
        <v>158</v>
      </c>
      <c r="H46" s="33">
        <v>39</v>
      </c>
      <c r="I46" s="35">
        <v>61</v>
      </c>
      <c r="J46" s="36">
        <v>7.45</v>
      </c>
      <c r="K46" s="36">
        <v>2379</v>
      </c>
    </row>
    <row r="47" spans="3:11" x14ac:dyDescent="0.3">
      <c r="C47" s="32">
        <v>42574</v>
      </c>
      <c r="D47" s="4" t="s">
        <v>120</v>
      </c>
      <c r="E47" s="33">
        <v>119</v>
      </c>
      <c r="F47" s="64" t="s">
        <v>157</v>
      </c>
      <c r="G47" s="34" t="s">
        <v>159</v>
      </c>
      <c r="H47" s="33">
        <v>40</v>
      </c>
      <c r="I47" s="35">
        <v>62</v>
      </c>
      <c r="J47" s="36">
        <v>8.4499999999999993</v>
      </c>
      <c r="K47" s="36">
        <v>2480</v>
      </c>
    </row>
    <row r="48" spans="3:11" x14ac:dyDescent="0.3">
      <c r="C48" s="32">
        <v>42575</v>
      </c>
      <c r="D48" s="4" t="s">
        <v>94</v>
      </c>
      <c r="E48" s="33">
        <v>120</v>
      </c>
      <c r="F48" s="64" t="s">
        <v>157</v>
      </c>
      <c r="G48" s="34" t="s">
        <v>160</v>
      </c>
      <c r="H48" s="33">
        <v>41</v>
      </c>
      <c r="I48" s="35">
        <v>63</v>
      </c>
      <c r="J48" s="36">
        <v>9.4499999999999993</v>
      </c>
      <c r="K48" s="36">
        <v>2583</v>
      </c>
    </row>
    <row r="49" spans="3:11" x14ac:dyDescent="0.3">
      <c r="C49" s="32">
        <v>42576</v>
      </c>
      <c r="D49" s="4" t="s">
        <v>98</v>
      </c>
      <c r="E49" s="33">
        <v>121</v>
      </c>
      <c r="F49" s="64" t="s">
        <v>157</v>
      </c>
      <c r="G49" s="34" t="s">
        <v>161</v>
      </c>
      <c r="H49" s="33">
        <v>42</v>
      </c>
      <c r="I49" s="35">
        <v>64</v>
      </c>
      <c r="J49" s="36">
        <v>13.45</v>
      </c>
      <c r="K49" s="36">
        <v>2688</v>
      </c>
    </row>
    <row r="50" spans="3:11" x14ac:dyDescent="0.3">
      <c r="C50" s="32">
        <v>42577</v>
      </c>
      <c r="D50" s="4" t="s">
        <v>93</v>
      </c>
      <c r="E50" s="33">
        <v>122</v>
      </c>
      <c r="F50" s="64" t="s">
        <v>157</v>
      </c>
      <c r="G50" s="34" t="s">
        <v>139</v>
      </c>
      <c r="H50" s="33">
        <v>43</v>
      </c>
      <c r="I50" s="35">
        <v>65</v>
      </c>
      <c r="J50" s="36">
        <v>14.45</v>
      </c>
      <c r="K50" s="36">
        <v>2795</v>
      </c>
    </row>
    <row r="51" spans="3:11" x14ac:dyDescent="0.3">
      <c r="C51" s="32">
        <v>42578</v>
      </c>
      <c r="D51" s="4" t="s">
        <v>96</v>
      </c>
      <c r="E51" s="33">
        <v>123</v>
      </c>
      <c r="F51" s="64" t="s">
        <v>157</v>
      </c>
      <c r="G51" s="34" t="s">
        <v>140</v>
      </c>
      <c r="H51" s="33">
        <v>44</v>
      </c>
      <c r="I51" s="35">
        <v>66</v>
      </c>
      <c r="J51" s="36">
        <v>15.45</v>
      </c>
      <c r="K51" s="36">
        <v>2904</v>
      </c>
    </row>
    <row r="52" spans="3:11" x14ac:dyDescent="0.3">
      <c r="C52" s="32">
        <v>42579</v>
      </c>
      <c r="D52" s="4" t="s">
        <v>99</v>
      </c>
      <c r="E52" s="33">
        <v>124</v>
      </c>
      <c r="F52" s="64" t="s">
        <v>157</v>
      </c>
      <c r="G52" s="34" t="s">
        <v>141</v>
      </c>
      <c r="H52" s="33">
        <v>45</v>
      </c>
      <c r="I52" s="35">
        <v>67</v>
      </c>
      <c r="J52" s="36">
        <v>16.45</v>
      </c>
      <c r="K52" s="36">
        <v>3015</v>
      </c>
    </row>
    <row r="53" spans="3:11" x14ac:dyDescent="0.3">
      <c r="C53" s="32">
        <v>42580</v>
      </c>
      <c r="D53" s="4" t="s">
        <v>92</v>
      </c>
      <c r="E53" s="33">
        <v>125</v>
      </c>
      <c r="F53" s="64" t="s">
        <v>157</v>
      </c>
      <c r="G53" s="34" t="s">
        <v>142</v>
      </c>
      <c r="H53" s="33">
        <v>46</v>
      </c>
      <c r="I53" s="35">
        <v>68</v>
      </c>
      <c r="J53" s="36">
        <v>17.45</v>
      </c>
      <c r="K53" s="36">
        <v>3128</v>
      </c>
    </row>
    <row r="54" spans="3:11" x14ac:dyDescent="0.3">
      <c r="C54" s="32">
        <v>42581</v>
      </c>
      <c r="D54" s="4" t="s">
        <v>100</v>
      </c>
      <c r="E54" s="33">
        <v>126</v>
      </c>
      <c r="F54" s="64" t="s">
        <v>157</v>
      </c>
      <c r="G54" s="34" t="s">
        <v>143</v>
      </c>
      <c r="H54" s="33">
        <v>47</v>
      </c>
      <c r="I54" s="35">
        <v>69</v>
      </c>
      <c r="J54" s="36">
        <v>18.45</v>
      </c>
      <c r="K54" s="36">
        <v>3243</v>
      </c>
    </row>
    <row r="55" spans="3:11" x14ac:dyDescent="0.3">
      <c r="C55" s="32">
        <v>42582</v>
      </c>
      <c r="D55" s="4" t="s">
        <v>95</v>
      </c>
      <c r="E55" s="33">
        <v>127</v>
      </c>
      <c r="F55" s="64" t="s">
        <v>157</v>
      </c>
      <c r="G55" s="34" t="s">
        <v>161</v>
      </c>
      <c r="H55" s="33">
        <v>48</v>
      </c>
      <c r="I55" s="35">
        <v>70</v>
      </c>
      <c r="J55" s="36">
        <v>19.45</v>
      </c>
      <c r="K55" s="36">
        <v>3360</v>
      </c>
    </row>
    <row r="56" spans="3:11" x14ac:dyDescent="0.3">
      <c r="C56" s="32">
        <v>42583</v>
      </c>
      <c r="D56" s="4" t="s">
        <v>101</v>
      </c>
      <c r="E56" s="33">
        <v>128</v>
      </c>
      <c r="F56" s="64" t="s">
        <v>157</v>
      </c>
      <c r="G56" s="34" t="s">
        <v>139</v>
      </c>
      <c r="H56" s="33">
        <v>49</v>
      </c>
      <c r="I56" s="35">
        <v>71</v>
      </c>
      <c r="J56" s="36">
        <v>20.45</v>
      </c>
      <c r="K56" s="36">
        <v>3479</v>
      </c>
    </row>
    <row r="57" spans="3:11" x14ac:dyDescent="0.3">
      <c r="C57" s="32">
        <v>42584</v>
      </c>
      <c r="D57" s="4" t="s">
        <v>97</v>
      </c>
      <c r="E57" s="33">
        <v>129</v>
      </c>
      <c r="F57" s="64" t="s">
        <v>157</v>
      </c>
      <c r="G57" s="34" t="s">
        <v>144</v>
      </c>
      <c r="H57" s="33">
        <v>50</v>
      </c>
      <c r="I57" s="35">
        <v>72</v>
      </c>
      <c r="J57" s="36">
        <v>45</v>
      </c>
      <c r="K57" s="36">
        <v>3600</v>
      </c>
    </row>
    <row r="58" spans="3:11" x14ac:dyDescent="0.3">
      <c r="C58" s="32">
        <v>42585</v>
      </c>
      <c r="D58" s="4" t="s">
        <v>122</v>
      </c>
      <c r="E58" s="33">
        <v>130</v>
      </c>
      <c r="F58" s="64" t="s">
        <v>157</v>
      </c>
      <c r="G58" s="34" t="s">
        <v>145</v>
      </c>
      <c r="H58" s="33">
        <v>51</v>
      </c>
      <c r="I58" s="35">
        <v>73</v>
      </c>
      <c r="J58" s="36">
        <v>46</v>
      </c>
      <c r="K58" s="36">
        <v>3723</v>
      </c>
    </row>
    <row r="59" spans="3:11" x14ac:dyDescent="0.3">
      <c r="C59" s="32">
        <v>42586</v>
      </c>
      <c r="D59" s="4" t="s">
        <v>102</v>
      </c>
      <c r="E59" s="33">
        <v>131</v>
      </c>
      <c r="F59" s="64" t="s">
        <v>157</v>
      </c>
      <c r="G59" s="34" t="s">
        <v>146</v>
      </c>
      <c r="H59" s="33">
        <v>52</v>
      </c>
      <c r="I59" s="35">
        <v>74</v>
      </c>
      <c r="J59" s="36">
        <v>47</v>
      </c>
      <c r="K59" s="36">
        <v>3848</v>
      </c>
    </row>
    <row r="60" spans="3:11" x14ac:dyDescent="0.3">
      <c r="C60" s="32">
        <v>42587</v>
      </c>
      <c r="D60" s="4" t="s">
        <v>181</v>
      </c>
      <c r="E60" s="33">
        <v>132</v>
      </c>
      <c r="F60" s="64" t="s">
        <v>157</v>
      </c>
      <c r="G60" s="34" t="s">
        <v>147</v>
      </c>
      <c r="H60" s="33">
        <v>53</v>
      </c>
      <c r="I60" s="35">
        <v>75</v>
      </c>
      <c r="J60" s="36">
        <v>48</v>
      </c>
      <c r="K60" s="36">
        <v>3975</v>
      </c>
    </row>
    <row r="61" spans="3:11" x14ac:dyDescent="0.3">
      <c r="C61" s="32">
        <v>42588</v>
      </c>
      <c r="D61" s="4" t="s">
        <v>118</v>
      </c>
      <c r="E61" s="33">
        <v>133</v>
      </c>
      <c r="F61" s="64" t="s">
        <v>157</v>
      </c>
      <c r="G61" s="34" t="s">
        <v>148</v>
      </c>
      <c r="H61" s="33">
        <v>54</v>
      </c>
      <c r="I61" s="35">
        <v>76</v>
      </c>
      <c r="J61" s="36">
        <v>49</v>
      </c>
      <c r="K61" s="36">
        <v>4104</v>
      </c>
    </row>
    <row r="62" spans="3:11" x14ac:dyDescent="0.3">
      <c r="C62" s="32">
        <v>42589</v>
      </c>
      <c r="D62" s="4" t="s">
        <v>118</v>
      </c>
      <c r="E62" s="33">
        <v>134</v>
      </c>
      <c r="F62" s="64" t="s">
        <v>157</v>
      </c>
      <c r="G62" s="34" t="s">
        <v>149</v>
      </c>
      <c r="H62" s="33">
        <v>55</v>
      </c>
      <c r="I62" s="35">
        <v>77</v>
      </c>
      <c r="J62" s="36">
        <v>50</v>
      </c>
      <c r="K62" s="36">
        <v>4235</v>
      </c>
    </row>
    <row r="63" spans="3:11" x14ac:dyDescent="0.3">
      <c r="C63" s="32">
        <v>42590</v>
      </c>
      <c r="D63" s="4" t="s">
        <v>118</v>
      </c>
      <c r="E63" s="33">
        <v>135</v>
      </c>
      <c r="F63" s="64" t="s">
        <v>157</v>
      </c>
      <c r="G63" s="34" t="s">
        <v>150</v>
      </c>
      <c r="H63" s="33">
        <v>56</v>
      </c>
      <c r="I63" s="35">
        <v>78</v>
      </c>
      <c r="J63" s="36">
        <v>51</v>
      </c>
      <c r="K63" s="36">
        <v>4368</v>
      </c>
    </row>
    <row r="64" spans="3:11" x14ac:dyDescent="0.3">
      <c r="C64" s="32">
        <v>42591</v>
      </c>
      <c r="D64" s="4" t="s">
        <v>117</v>
      </c>
      <c r="E64" s="33">
        <v>136</v>
      </c>
      <c r="F64" s="64" t="s">
        <v>157</v>
      </c>
      <c r="G64" s="34" t="s">
        <v>151</v>
      </c>
      <c r="H64" s="33">
        <v>57</v>
      </c>
      <c r="I64" s="35">
        <v>79</v>
      </c>
      <c r="J64" s="36">
        <v>52</v>
      </c>
      <c r="K64" s="36">
        <v>4503</v>
      </c>
    </row>
    <row r="65" spans="3:11" x14ac:dyDescent="0.3">
      <c r="C65" s="32">
        <v>42592</v>
      </c>
      <c r="D65" s="4" t="s">
        <v>117</v>
      </c>
      <c r="E65" s="33">
        <v>137</v>
      </c>
      <c r="F65" s="64" t="s">
        <v>157</v>
      </c>
      <c r="G65" s="34" t="s">
        <v>152</v>
      </c>
      <c r="H65" s="33">
        <v>58</v>
      </c>
      <c r="I65" s="35">
        <v>80</v>
      </c>
      <c r="J65" s="36">
        <v>53</v>
      </c>
      <c r="K65" s="36">
        <v>4640</v>
      </c>
    </row>
    <row r="66" spans="3:11" x14ac:dyDescent="0.3">
      <c r="C66" s="32">
        <v>42593</v>
      </c>
      <c r="D66" s="4" t="s">
        <v>117</v>
      </c>
      <c r="E66" s="33">
        <v>138</v>
      </c>
      <c r="F66" s="64" t="s">
        <v>157</v>
      </c>
      <c r="G66" s="34" t="s">
        <v>153</v>
      </c>
      <c r="H66" s="33">
        <v>59</v>
      </c>
      <c r="I66" s="35">
        <v>81</v>
      </c>
      <c r="J66" s="36">
        <v>54</v>
      </c>
      <c r="K66" s="36">
        <v>4779</v>
      </c>
    </row>
    <row r="67" spans="3:11" x14ac:dyDescent="0.3">
      <c r="C67" s="32">
        <v>42594</v>
      </c>
      <c r="D67" s="4" t="s">
        <v>117</v>
      </c>
      <c r="E67" s="33">
        <v>139</v>
      </c>
      <c r="F67" s="64" t="s">
        <v>157</v>
      </c>
      <c r="G67" s="34" t="s">
        <v>154</v>
      </c>
      <c r="H67" s="33">
        <v>60</v>
      </c>
      <c r="I67" s="35">
        <v>82</v>
      </c>
      <c r="J67" s="36">
        <v>55</v>
      </c>
      <c r="K67" s="36">
        <v>4920</v>
      </c>
    </row>
    <row r="68" spans="3:11" x14ac:dyDescent="0.3">
      <c r="C68" s="32">
        <v>42595</v>
      </c>
      <c r="D68" s="4" t="s">
        <v>119</v>
      </c>
      <c r="E68" s="33">
        <v>140</v>
      </c>
      <c r="F68" s="64" t="s">
        <v>157</v>
      </c>
      <c r="G68" s="34" t="s">
        <v>155</v>
      </c>
      <c r="H68" s="33">
        <v>61</v>
      </c>
      <c r="I68" s="35">
        <v>83</v>
      </c>
      <c r="J68" s="36">
        <v>56</v>
      </c>
      <c r="K68" s="36">
        <v>5063</v>
      </c>
    </row>
    <row r="69" spans="3:11" x14ac:dyDescent="0.3">
      <c r="C69" s="32">
        <v>42596</v>
      </c>
      <c r="D69" s="4" t="s">
        <v>116</v>
      </c>
      <c r="E69" s="37">
        <v>34</v>
      </c>
      <c r="F69" s="64" t="s">
        <v>157</v>
      </c>
      <c r="G69" s="34" t="s">
        <v>135</v>
      </c>
      <c r="H69" s="33">
        <v>89</v>
      </c>
      <c r="I69" s="37">
        <v>100</v>
      </c>
      <c r="J69" s="4">
        <v>45</v>
      </c>
      <c r="K69" s="36">
        <v>4005</v>
      </c>
    </row>
    <row r="70" spans="3:11" x14ac:dyDescent="0.3">
      <c r="C70" s="32">
        <v>42597</v>
      </c>
      <c r="D70" s="4" t="s">
        <v>120</v>
      </c>
      <c r="E70" s="33">
        <v>67</v>
      </c>
      <c r="F70" s="64" t="s">
        <v>163</v>
      </c>
      <c r="G70" s="34" t="s">
        <v>123</v>
      </c>
      <c r="H70" s="33">
        <v>67</v>
      </c>
      <c r="I70" s="37">
        <v>39</v>
      </c>
      <c r="J70" s="4">
        <v>19</v>
      </c>
      <c r="K70" s="36">
        <v>1273</v>
      </c>
    </row>
    <row r="71" spans="3:11" x14ac:dyDescent="0.3">
      <c r="C71" s="32">
        <v>42598</v>
      </c>
      <c r="D71" s="4" t="s">
        <v>117</v>
      </c>
      <c r="E71" s="33">
        <v>34</v>
      </c>
      <c r="F71" s="64" t="s">
        <v>157</v>
      </c>
      <c r="G71" s="4" t="s">
        <v>104</v>
      </c>
      <c r="H71" s="33">
        <v>56</v>
      </c>
      <c r="I71" s="37">
        <v>60</v>
      </c>
      <c r="J71" s="4">
        <v>8.4499999999999993</v>
      </c>
      <c r="K71" s="36">
        <v>473.2</v>
      </c>
    </row>
    <row r="72" spans="3:11" x14ac:dyDescent="0.3">
      <c r="C72" s="32">
        <v>42544</v>
      </c>
      <c r="D72" s="4" t="s">
        <v>122</v>
      </c>
      <c r="E72" s="33">
        <v>67</v>
      </c>
      <c r="F72" s="64" t="s">
        <v>157</v>
      </c>
      <c r="G72" s="4" t="s">
        <v>103</v>
      </c>
      <c r="H72" s="33">
        <v>67</v>
      </c>
      <c r="I72" s="37">
        <v>61</v>
      </c>
      <c r="J72" s="4">
        <v>7.45</v>
      </c>
      <c r="K72" s="36">
        <v>499.15</v>
      </c>
    </row>
    <row r="73" spans="3:11" x14ac:dyDescent="0.3">
      <c r="C73" s="32">
        <v>42544</v>
      </c>
      <c r="D73" s="4" t="s">
        <v>122</v>
      </c>
      <c r="E73" s="33">
        <v>67</v>
      </c>
      <c r="F73" s="64" t="s">
        <v>163</v>
      </c>
      <c r="G73" s="34" t="s">
        <v>171</v>
      </c>
      <c r="H73" s="33">
        <v>5</v>
      </c>
      <c r="I73" s="37">
        <v>35</v>
      </c>
      <c r="J73" s="4">
        <v>7</v>
      </c>
      <c r="K73" s="36">
        <v>35</v>
      </c>
    </row>
    <row r="74" spans="3:11" x14ac:dyDescent="0.3">
      <c r="C74" s="32">
        <v>42707</v>
      </c>
      <c r="D74" s="4" t="s">
        <v>120</v>
      </c>
      <c r="E74" s="33">
        <v>45</v>
      </c>
      <c r="F74" s="64" t="s">
        <v>162</v>
      </c>
      <c r="G74" s="4" t="s">
        <v>128</v>
      </c>
      <c r="H74" s="33">
        <v>23</v>
      </c>
      <c r="I74" s="37">
        <v>22</v>
      </c>
      <c r="J74" s="4">
        <v>18.2</v>
      </c>
      <c r="K74" s="36">
        <v>418.6</v>
      </c>
    </row>
    <row r="75" spans="3:11" x14ac:dyDescent="0.3">
      <c r="C75" s="32">
        <v>42707</v>
      </c>
      <c r="D75" s="4" t="s">
        <v>120</v>
      </c>
      <c r="E75" s="33">
        <v>45</v>
      </c>
      <c r="F75" s="64" t="s">
        <v>163</v>
      </c>
      <c r="G75" s="4" t="s">
        <v>168</v>
      </c>
      <c r="H75" s="33">
        <v>56</v>
      </c>
      <c r="I75" s="37">
        <v>100</v>
      </c>
      <c r="J75" s="4">
        <v>13</v>
      </c>
      <c r="K75" s="36">
        <v>728</v>
      </c>
    </row>
    <row r="76" spans="3:11" x14ac:dyDescent="0.3">
      <c r="C76" s="32">
        <v>42707</v>
      </c>
      <c r="D76" s="4" t="s">
        <v>120</v>
      </c>
      <c r="E76" s="33">
        <v>45</v>
      </c>
      <c r="F76" s="64" t="s">
        <v>157</v>
      </c>
      <c r="G76" s="4" t="s">
        <v>156</v>
      </c>
      <c r="H76" s="33">
        <v>6</v>
      </c>
      <c r="I76" s="37">
        <v>48</v>
      </c>
      <c r="J76" s="4">
        <v>47</v>
      </c>
      <c r="K76" s="36">
        <v>282</v>
      </c>
    </row>
    <row r="77" spans="3:11" x14ac:dyDescent="0.3">
      <c r="C77" s="32">
        <v>42716</v>
      </c>
      <c r="D77" s="4" t="s">
        <v>117</v>
      </c>
      <c r="E77" s="33">
        <v>23</v>
      </c>
      <c r="F77" s="64" t="s">
        <v>157</v>
      </c>
      <c r="G77" s="34" t="s">
        <v>115</v>
      </c>
      <c r="H77" s="33">
        <v>23</v>
      </c>
      <c r="I77" s="37">
        <v>19</v>
      </c>
      <c r="J77" s="4">
        <v>46</v>
      </c>
      <c r="K77" s="38">
        <v>1058</v>
      </c>
    </row>
    <row r="78" spans="3:11" x14ac:dyDescent="0.3">
      <c r="C78" s="32">
        <v>42716</v>
      </c>
      <c r="D78" s="4" t="s">
        <v>120</v>
      </c>
      <c r="E78" s="33">
        <v>5</v>
      </c>
      <c r="F78" s="64" t="s">
        <v>163</v>
      </c>
      <c r="G78" s="34" t="s">
        <v>169</v>
      </c>
      <c r="H78" s="33">
        <v>23</v>
      </c>
      <c r="I78" s="37">
        <v>-28</v>
      </c>
      <c r="J78" s="4">
        <v>19</v>
      </c>
      <c r="K78" s="36">
        <v>437</v>
      </c>
    </row>
    <row r="79" spans="3:11" x14ac:dyDescent="0.3">
      <c r="C79" s="32">
        <v>42716</v>
      </c>
      <c r="D79" s="4" t="s">
        <v>121</v>
      </c>
      <c r="E79" s="33">
        <v>6</v>
      </c>
      <c r="F79" s="64" t="s">
        <v>157</v>
      </c>
      <c r="G79" s="34" t="s">
        <v>137</v>
      </c>
      <c r="H79" s="33">
        <v>34</v>
      </c>
      <c r="I79" s="37">
        <v>-4</v>
      </c>
      <c r="J79" s="4">
        <v>46</v>
      </c>
      <c r="K79" s="36">
        <v>1564</v>
      </c>
    </row>
    <row r="80" spans="3:11" x14ac:dyDescent="0.3">
      <c r="C80" s="32">
        <v>42716</v>
      </c>
      <c r="D80" s="4" t="s">
        <v>121</v>
      </c>
      <c r="E80" s="33">
        <v>23</v>
      </c>
      <c r="F80" s="64" t="s">
        <v>163</v>
      </c>
      <c r="G80" s="34" t="s">
        <v>173</v>
      </c>
      <c r="H80" s="33">
        <v>23</v>
      </c>
      <c r="I80" s="37">
        <v>-51</v>
      </c>
      <c r="J80" s="4">
        <v>19</v>
      </c>
      <c r="K80" s="36">
        <v>437</v>
      </c>
    </row>
    <row r="81" spans="3:11" x14ac:dyDescent="0.3">
      <c r="C81" s="32">
        <v>42716</v>
      </c>
      <c r="D81" s="4" t="s">
        <v>121</v>
      </c>
      <c r="E81" s="33">
        <v>23</v>
      </c>
      <c r="F81" s="64" t="s">
        <v>157</v>
      </c>
      <c r="G81" s="4" t="s">
        <v>148</v>
      </c>
      <c r="H81" s="33">
        <v>34</v>
      </c>
      <c r="I81" s="37">
        <v>49</v>
      </c>
      <c r="J81" s="4">
        <v>46</v>
      </c>
      <c r="K81" s="36">
        <v>1564</v>
      </c>
    </row>
  </sheetData>
  <sheetProtection formatCells="0" sort="0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X247"/>
  <sheetViews>
    <sheetView showGridLines="0"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30" sqref="A30:XFD30"/>
    </sheetView>
  </sheetViews>
  <sheetFormatPr defaultRowHeight="14.4" x14ac:dyDescent="0.3"/>
  <cols>
    <col min="1" max="1" width="20.88671875" customWidth="1"/>
    <col min="2" max="2" width="12.5546875" style="4" customWidth="1"/>
    <col min="3" max="3" width="16.109375" style="4" customWidth="1"/>
    <col min="4" max="4" width="27.5546875" style="4" customWidth="1"/>
    <col min="5" max="5" width="10.88671875" style="4" customWidth="1"/>
    <col min="6" max="6" width="12.33203125" style="4" customWidth="1"/>
    <col min="7" max="7" width="12.6640625" style="4" customWidth="1"/>
    <col min="8" max="8" width="9.109375" style="40"/>
    <col min="9" max="9" width="11.6640625" style="40" customWidth="1"/>
    <col min="10" max="10" width="29.33203125" style="41" customWidth="1"/>
    <col min="11" max="11" width="14" customWidth="1"/>
    <col min="12" max="12" width="17" customWidth="1"/>
    <col min="14" max="14" width="12.109375" bestFit="1" customWidth="1"/>
  </cols>
  <sheetData>
    <row r="1" spans="2:24" ht="49.95" customHeight="1" x14ac:dyDescent="0.3">
      <c r="B1"/>
      <c r="C1"/>
      <c r="D1"/>
      <c r="E1"/>
      <c r="F1"/>
      <c r="G1"/>
      <c r="H1" s="8"/>
      <c r="I1" s="8"/>
      <c r="J1"/>
    </row>
    <row r="2" spans="2:24" x14ac:dyDescent="0.3">
      <c r="B2"/>
      <c r="C2"/>
      <c r="D2"/>
      <c r="E2"/>
      <c r="F2"/>
      <c r="G2"/>
      <c r="H2" s="8"/>
      <c r="I2" s="8"/>
      <c r="J2"/>
      <c r="T2" s="1"/>
    </row>
    <row r="3" spans="2:24" x14ac:dyDescent="0.3">
      <c r="B3"/>
      <c r="C3"/>
      <c r="D3"/>
      <c r="E3"/>
      <c r="F3"/>
      <c r="G3"/>
      <c r="H3" s="8"/>
      <c r="I3" s="8"/>
      <c r="J3"/>
      <c r="T3" s="1"/>
    </row>
    <row r="4" spans="2:24" x14ac:dyDescent="0.3">
      <c r="B4"/>
      <c r="C4"/>
      <c r="D4"/>
      <c r="E4"/>
      <c r="F4"/>
      <c r="G4"/>
      <c r="H4" s="8"/>
      <c r="I4" s="8"/>
      <c r="J4"/>
      <c r="T4" s="1"/>
      <c r="W4" t="s">
        <v>0</v>
      </c>
      <c r="X4" t="s">
        <v>1</v>
      </c>
    </row>
    <row r="5" spans="2:24" x14ac:dyDescent="0.3">
      <c r="B5" s="51" t="s">
        <v>225</v>
      </c>
      <c r="C5" s="51" t="s">
        <v>5</v>
      </c>
      <c r="D5" s="51" t="s">
        <v>65</v>
      </c>
      <c r="E5" s="51" t="s">
        <v>6</v>
      </c>
      <c r="F5" s="51" t="s">
        <v>13</v>
      </c>
      <c r="G5" s="51" t="s">
        <v>17</v>
      </c>
      <c r="H5" s="52" t="s">
        <v>14</v>
      </c>
      <c r="I5" s="52" t="s">
        <v>8</v>
      </c>
      <c r="J5" s="52" t="s">
        <v>105</v>
      </c>
      <c r="L5" s="49" t="s">
        <v>80</v>
      </c>
      <c r="M5" s="45" t="s">
        <v>5</v>
      </c>
      <c r="N5" s="45" t="s">
        <v>5</v>
      </c>
      <c r="W5" t="s">
        <v>2</v>
      </c>
      <c r="X5">
        <v>34</v>
      </c>
    </row>
    <row r="6" spans="2:24" x14ac:dyDescent="0.3">
      <c r="B6" s="4">
        <f>X11</f>
        <v>40001</v>
      </c>
      <c r="C6" s="4" t="s">
        <v>163</v>
      </c>
      <c r="D6" s="34" t="s">
        <v>167</v>
      </c>
      <c r="E6" s="4">
        <v>1</v>
      </c>
      <c r="F6" s="36">
        <v>4.5</v>
      </c>
      <c r="G6" s="36">
        <v>8</v>
      </c>
      <c r="H6" s="40">
        <f t="shared" ref="H6:H25" si="0">IF($D6="","",SUMIF(AllProduct,$D6,AllOrders))</f>
        <v>59</v>
      </c>
      <c r="I6" s="40">
        <v>41</v>
      </c>
      <c r="J6" s="41" t="str">
        <f>IF($I6="","",IF($I6&lt;=0,"Out of Stock",IF($I6&lt;=50,"Reorder Now","Fine")))</f>
        <v>Reorder Now</v>
      </c>
      <c r="L6" s="4" t="s">
        <v>163</v>
      </c>
      <c r="M6" s="4" t="s">
        <v>163</v>
      </c>
      <c r="N6" t="s">
        <v>163</v>
      </c>
      <c r="W6" t="s">
        <v>3</v>
      </c>
      <c r="X6">
        <v>67</v>
      </c>
    </row>
    <row r="7" spans="2:24" x14ac:dyDescent="0.3">
      <c r="B7" s="4">
        <v>40002</v>
      </c>
      <c r="C7" s="4" t="s">
        <v>163</v>
      </c>
      <c r="D7" s="34" t="s">
        <v>169</v>
      </c>
      <c r="E7" s="4">
        <v>2</v>
      </c>
      <c r="F7" s="36">
        <v>5.5</v>
      </c>
      <c r="G7" s="36">
        <v>9</v>
      </c>
      <c r="H7" s="40">
        <f t="shared" si="0"/>
        <v>149</v>
      </c>
      <c r="I7" s="40">
        <v>21</v>
      </c>
      <c r="J7" s="41" t="str">
        <f t="shared" ref="J7:J25" si="1">IF($I7="","",IF($I7&lt;=0,"Out of Stock",IF($I7&lt;=50,"Reorder Now","Fine")))</f>
        <v>Reorder Now</v>
      </c>
      <c r="L7" s="4" t="s">
        <v>162</v>
      </c>
      <c r="N7" t="s">
        <v>163</v>
      </c>
      <c r="W7" t="s">
        <v>4</v>
      </c>
      <c r="X7">
        <v>45</v>
      </c>
    </row>
    <row r="8" spans="2:24" x14ac:dyDescent="0.3">
      <c r="B8" s="4">
        <v>40002</v>
      </c>
      <c r="C8" s="4" t="s">
        <v>163</v>
      </c>
      <c r="D8" s="34" t="s">
        <v>170</v>
      </c>
      <c r="E8" s="4">
        <v>3</v>
      </c>
      <c r="F8" s="36">
        <v>6.5</v>
      </c>
      <c r="G8" s="36">
        <v>10</v>
      </c>
      <c r="H8" s="40">
        <f t="shared" si="0"/>
        <v>128</v>
      </c>
      <c r="I8" s="40">
        <v>0</v>
      </c>
      <c r="J8" s="41" t="str">
        <f t="shared" si="1"/>
        <v>Out of Stock</v>
      </c>
      <c r="L8" s="4" t="s">
        <v>157</v>
      </c>
      <c r="N8" t="s">
        <v>163</v>
      </c>
    </row>
    <row r="9" spans="2:24" x14ac:dyDescent="0.3">
      <c r="B9" s="4">
        <v>40002</v>
      </c>
      <c r="C9" s="4" t="s">
        <v>163</v>
      </c>
      <c r="D9" s="34" t="s">
        <v>171</v>
      </c>
      <c r="E9" s="4">
        <v>4</v>
      </c>
      <c r="F9" s="36">
        <v>7.5</v>
      </c>
      <c r="G9" s="36">
        <v>11</v>
      </c>
      <c r="H9" s="40">
        <f t="shared" si="0"/>
        <v>204</v>
      </c>
      <c r="I9" s="40">
        <v>120</v>
      </c>
      <c r="J9" s="41" t="str">
        <f t="shared" si="1"/>
        <v>Fine</v>
      </c>
      <c r="L9" s="4"/>
      <c r="M9" s="2"/>
      <c r="N9" t="s">
        <v>163</v>
      </c>
    </row>
    <row r="10" spans="2:24" x14ac:dyDescent="0.3">
      <c r="B10" s="4">
        <v>40002</v>
      </c>
      <c r="C10" s="4" t="s">
        <v>163</v>
      </c>
      <c r="D10" s="34" t="s">
        <v>172</v>
      </c>
      <c r="E10" s="4">
        <v>5</v>
      </c>
      <c r="F10" s="36">
        <v>8.5</v>
      </c>
      <c r="G10" s="36">
        <v>12</v>
      </c>
      <c r="H10" s="40">
        <f t="shared" si="0"/>
        <v>133</v>
      </c>
      <c r="I10" s="40">
        <v>215</v>
      </c>
      <c r="J10" s="41" t="str">
        <f t="shared" si="1"/>
        <v>Fine</v>
      </c>
      <c r="L10" s="4"/>
      <c r="N10" t="s">
        <v>163</v>
      </c>
    </row>
    <row r="11" spans="2:24" x14ac:dyDescent="0.3">
      <c r="B11" s="4">
        <v>40003</v>
      </c>
      <c r="C11" s="4" t="s">
        <v>163</v>
      </c>
      <c r="D11" s="34" t="s">
        <v>173</v>
      </c>
      <c r="E11" s="4">
        <v>6</v>
      </c>
      <c r="F11" s="36">
        <v>9.5</v>
      </c>
      <c r="G11" s="36">
        <v>13</v>
      </c>
      <c r="H11" s="40">
        <f t="shared" si="0"/>
        <v>158</v>
      </c>
      <c r="I11" s="40">
        <v>10</v>
      </c>
      <c r="J11" s="41" t="str">
        <f t="shared" si="1"/>
        <v>Reorder Now</v>
      </c>
      <c r="L11" s="4"/>
      <c r="N11" t="s">
        <v>163</v>
      </c>
      <c r="X11">
        <v>40001</v>
      </c>
    </row>
    <row r="12" spans="2:24" x14ac:dyDescent="0.3">
      <c r="B12" s="4">
        <v>40003</v>
      </c>
      <c r="C12" s="4" t="s">
        <v>163</v>
      </c>
      <c r="D12" s="34" t="s">
        <v>123</v>
      </c>
      <c r="E12" s="4">
        <v>7</v>
      </c>
      <c r="F12" s="36">
        <v>10.5</v>
      </c>
      <c r="G12" s="36">
        <v>14</v>
      </c>
      <c r="H12" s="40">
        <f t="shared" si="0"/>
        <v>132</v>
      </c>
      <c r="I12" s="40">
        <v>201</v>
      </c>
      <c r="J12" s="41" t="str">
        <f t="shared" si="1"/>
        <v>Fine</v>
      </c>
      <c r="L12" s="4"/>
      <c r="N12" t="s">
        <v>163</v>
      </c>
    </row>
    <row r="13" spans="2:24" x14ac:dyDescent="0.3">
      <c r="B13" s="4">
        <v>40004</v>
      </c>
      <c r="C13" s="4" t="s">
        <v>163</v>
      </c>
      <c r="D13" s="34" t="s">
        <v>169</v>
      </c>
      <c r="E13" s="4">
        <v>8</v>
      </c>
      <c r="F13" s="36">
        <v>11.5</v>
      </c>
      <c r="G13" s="36">
        <v>15</v>
      </c>
      <c r="H13" s="40">
        <f t="shared" si="0"/>
        <v>149</v>
      </c>
      <c r="I13" s="40">
        <v>45</v>
      </c>
      <c r="J13" s="41" t="str">
        <f t="shared" si="1"/>
        <v>Reorder Now</v>
      </c>
      <c r="L13" s="4"/>
      <c r="N13" t="s">
        <v>163</v>
      </c>
    </row>
    <row r="14" spans="2:24" x14ac:dyDescent="0.3">
      <c r="B14" s="4">
        <v>40005</v>
      </c>
      <c r="C14" s="4" t="s">
        <v>162</v>
      </c>
      <c r="D14" s="34" t="s">
        <v>124</v>
      </c>
      <c r="E14" s="4">
        <v>9</v>
      </c>
      <c r="F14" s="36">
        <v>16.5</v>
      </c>
      <c r="G14" s="36">
        <v>18</v>
      </c>
      <c r="H14" s="40">
        <f t="shared" si="0"/>
        <v>73</v>
      </c>
      <c r="I14" s="40">
        <v>456</v>
      </c>
      <c r="J14" s="41" t="str">
        <f t="shared" si="1"/>
        <v>Fine</v>
      </c>
      <c r="L14" s="4"/>
      <c r="N14" t="s">
        <v>163</v>
      </c>
    </row>
    <row r="15" spans="2:24" x14ac:dyDescent="0.3">
      <c r="B15" s="4">
        <v>40006</v>
      </c>
      <c r="C15" s="4" t="s">
        <v>162</v>
      </c>
      <c r="D15" s="34" t="s">
        <v>125</v>
      </c>
      <c r="E15" s="4">
        <v>10</v>
      </c>
      <c r="F15" s="36">
        <v>17.5</v>
      </c>
      <c r="G15" s="36">
        <v>19</v>
      </c>
      <c r="H15" s="40">
        <f t="shared" si="0"/>
        <v>74</v>
      </c>
      <c r="I15" s="40">
        <v>78</v>
      </c>
      <c r="J15" s="41" t="str">
        <f t="shared" si="1"/>
        <v>Fine</v>
      </c>
      <c r="L15" s="4"/>
      <c r="N15" t="s">
        <v>163</v>
      </c>
    </row>
    <row r="16" spans="2:24" x14ac:dyDescent="0.3">
      <c r="B16" s="4">
        <v>40007</v>
      </c>
      <c r="C16" s="4" t="s">
        <v>162</v>
      </c>
      <c r="D16" s="34" t="s">
        <v>126</v>
      </c>
      <c r="E16" s="4">
        <v>11</v>
      </c>
      <c r="F16" s="36">
        <v>18.5</v>
      </c>
      <c r="G16" s="36">
        <v>20</v>
      </c>
      <c r="H16" s="40">
        <f t="shared" si="0"/>
        <v>75</v>
      </c>
      <c r="I16" s="40">
        <v>12</v>
      </c>
      <c r="J16" s="41" t="str">
        <f t="shared" si="1"/>
        <v>Reorder Now</v>
      </c>
      <c r="L16" s="4"/>
      <c r="N16" t="s">
        <v>163</v>
      </c>
    </row>
    <row r="17" spans="2:14" x14ac:dyDescent="0.3">
      <c r="B17" s="4">
        <v>40008</v>
      </c>
      <c r="C17" s="4" t="s">
        <v>162</v>
      </c>
      <c r="D17" s="34" t="s">
        <v>127</v>
      </c>
      <c r="E17" s="4">
        <v>12</v>
      </c>
      <c r="F17" s="36">
        <v>19.5</v>
      </c>
      <c r="G17" s="36">
        <v>21</v>
      </c>
      <c r="H17" s="40">
        <f t="shared" si="0"/>
        <v>76</v>
      </c>
      <c r="I17" s="40">
        <v>21</v>
      </c>
      <c r="J17" s="41" t="str">
        <f t="shared" si="1"/>
        <v>Reorder Now</v>
      </c>
      <c r="L17" s="4"/>
      <c r="N17" t="s">
        <v>163</v>
      </c>
    </row>
    <row r="18" spans="2:14" x14ac:dyDescent="0.3">
      <c r="B18" s="4">
        <v>40004</v>
      </c>
      <c r="C18" s="4" t="s">
        <v>162</v>
      </c>
      <c r="D18" s="34" t="s">
        <v>128</v>
      </c>
      <c r="E18" s="4">
        <v>13</v>
      </c>
      <c r="F18" s="36">
        <v>3.5</v>
      </c>
      <c r="G18" s="36">
        <v>5</v>
      </c>
      <c r="H18" s="40">
        <f t="shared" si="0"/>
        <v>100</v>
      </c>
      <c r="I18" s="40">
        <v>563</v>
      </c>
      <c r="J18" s="41" t="str">
        <f t="shared" si="1"/>
        <v>Fine</v>
      </c>
      <c r="L18" s="4"/>
      <c r="N18" t="s">
        <v>163</v>
      </c>
    </row>
    <row r="19" spans="2:14" x14ac:dyDescent="0.3">
      <c r="B19" s="4">
        <v>40004</v>
      </c>
      <c r="C19" s="4" t="s">
        <v>162</v>
      </c>
      <c r="D19" s="34" t="s">
        <v>129</v>
      </c>
      <c r="E19" s="4">
        <v>14</v>
      </c>
      <c r="F19" s="36">
        <v>4.5</v>
      </c>
      <c r="G19" s="36">
        <v>6</v>
      </c>
      <c r="H19" s="40">
        <f t="shared" si="0"/>
        <v>78</v>
      </c>
      <c r="I19" s="40">
        <v>-30</v>
      </c>
      <c r="J19" s="41" t="str">
        <f t="shared" si="1"/>
        <v>Out of Stock</v>
      </c>
      <c r="L19" s="4"/>
      <c r="N19" t="s">
        <v>163</v>
      </c>
    </row>
    <row r="20" spans="2:14" x14ac:dyDescent="0.3">
      <c r="B20" s="4">
        <v>40004</v>
      </c>
      <c r="C20" s="4" t="s">
        <v>162</v>
      </c>
      <c r="D20" s="34" t="s">
        <v>130</v>
      </c>
      <c r="E20" s="4">
        <v>15</v>
      </c>
      <c r="F20" s="36">
        <v>5.5</v>
      </c>
      <c r="G20" s="36">
        <v>7</v>
      </c>
      <c r="H20" s="40">
        <f t="shared" si="0"/>
        <v>79</v>
      </c>
      <c r="I20" s="40">
        <v>546</v>
      </c>
      <c r="J20" s="41" t="str">
        <f t="shared" si="1"/>
        <v>Fine</v>
      </c>
      <c r="L20" s="4"/>
      <c r="N20" t="s">
        <v>163</v>
      </c>
    </row>
    <row r="21" spans="2:14" x14ac:dyDescent="0.3">
      <c r="B21" s="4">
        <v>40004</v>
      </c>
      <c r="C21" s="4" t="s">
        <v>162</v>
      </c>
      <c r="D21" s="34" t="s">
        <v>131</v>
      </c>
      <c r="E21" s="4">
        <v>16</v>
      </c>
      <c r="F21" s="36">
        <v>6.5</v>
      </c>
      <c r="G21" s="36">
        <v>8</v>
      </c>
      <c r="H21" s="40">
        <f t="shared" si="0"/>
        <v>80</v>
      </c>
      <c r="I21" s="40">
        <v>50</v>
      </c>
      <c r="J21" s="41" t="str">
        <f t="shared" si="1"/>
        <v>Reorder Now</v>
      </c>
      <c r="L21" s="4"/>
      <c r="N21" t="s">
        <v>163</v>
      </c>
    </row>
    <row r="22" spans="2:14" x14ac:dyDescent="0.3">
      <c r="B22" s="4">
        <v>40004</v>
      </c>
      <c r="C22" s="4" t="s">
        <v>162</v>
      </c>
      <c r="D22" s="34" t="s">
        <v>126</v>
      </c>
      <c r="E22" s="4">
        <v>17</v>
      </c>
      <c r="F22" s="36">
        <v>7.5</v>
      </c>
      <c r="G22" s="36">
        <v>9</v>
      </c>
      <c r="H22" s="40">
        <f t="shared" si="0"/>
        <v>75</v>
      </c>
      <c r="I22" s="40">
        <v>54</v>
      </c>
      <c r="J22" s="41" t="str">
        <f t="shared" si="1"/>
        <v>Fine</v>
      </c>
      <c r="L22" s="4"/>
    </row>
    <row r="23" spans="2:14" x14ac:dyDescent="0.3">
      <c r="B23" s="4">
        <v>40004</v>
      </c>
      <c r="C23" s="4" t="s">
        <v>162</v>
      </c>
      <c r="D23" s="34" t="s">
        <v>127</v>
      </c>
      <c r="E23" s="4">
        <v>18</v>
      </c>
      <c r="F23" s="36">
        <v>8.5</v>
      </c>
      <c r="G23" s="36">
        <v>10</v>
      </c>
      <c r="H23" s="40">
        <f t="shared" si="0"/>
        <v>76</v>
      </c>
      <c r="I23" s="40">
        <v>48</v>
      </c>
      <c r="J23" s="41" t="str">
        <f t="shared" si="1"/>
        <v>Reorder Now</v>
      </c>
      <c r="L23" s="4"/>
    </row>
    <row r="24" spans="2:14" x14ac:dyDescent="0.3">
      <c r="B24" s="4">
        <v>40004</v>
      </c>
      <c r="C24" s="4" t="s">
        <v>162</v>
      </c>
      <c r="D24" s="34" t="s">
        <v>128</v>
      </c>
      <c r="E24" s="4">
        <v>19</v>
      </c>
      <c r="F24" s="36">
        <v>9.5</v>
      </c>
      <c r="G24" s="36">
        <v>11</v>
      </c>
      <c r="H24" s="40">
        <f t="shared" si="0"/>
        <v>100</v>
      </c>
      <c r="I24" s="40">
        <v>21</v>
      </c>
      <c r="J24" s="41" t="str">
        <f t="shared" si="1"/>
        <v>Reorder Now</v>
      </c>
      <c r="L24" s="4"/>
    </row>
    <row r="25" spans="2:14" x14ac:dyDescent="0.3">
      <c r="B25" s="4">
        <v>40004</v>
      </c>
      <c r="C25" s="4" t="s">
        <v>162</v>
      </c>
      <c r="D25" s="34" t="s">
        <v>129</v>
      </c>
      <c r="E25" s="4">
        <v>20</v>
      </c>
      <c r="F25" s="36">
        <v>10.5</v>
      </c>
      <c r="G25" s="36">
        <v>15.5</v>
      </c>
      <c r="H25" s="40">
        <f t="shared" si="0"/>
        <v>78</v>
      </c>
      <c r="I25" s="40">
        <v>89</v>
      </c>
      <c r="J25" s="41" t="str">
        <f t="shared" si="1"/>
        <v>Fine</v>
      </c>
      <c r="L25" s="4"/>
    </row>
    <row r="26" spans="2:14" x14ac:dyDescent="0.3">
      <c r="D26" s="34"/>
      <c r="F26" s="36"/>
      <c r="G26" s="36"/>
      <c r="L26" s="4"/>
    </row>
    <row r="27" spans="2:14" x14ac:dyDescent="0.3">
      <c r="D27" s="34"/>
      <c r="F27" s="36"/>
      <c r="G27" s="36"/>
      <c r="L27" s="4"/>
    </row>
    <row r="28" spans="2:14" x14ac:dyDescent="0.3">
      <c r="D28" s="34"/>
      <c r="F28" s="36"/>
      <c r="G28" s="36"/>
      <c r="L28" s="4"/>
    </row>
    <row r="29" spans="2:14" x14ac:dyDescent="0.3">
      <c r="D29" s="34"/>
      <c r="F29" s="36"/>
      <c r="G29" s="36"/>
      <c r="L29" s="4"/>
    </row>
    <row r="30" spans="2:14" x14ac:dyDescent="0.3">
      <c r="D30" s="34"/>
      <c r="F30" s="36"/>
      <c r="G30" s="36"/>
      <c r="L30" s="4"/>
    </row>
    <row r="31" spans="2:14" x14ac:dyDescent="0.3">
      <c r="D31" s="34"/>
      <c r="F31" s="36"/>
      <c r="G31" s="36"/>
      <c r="L31" s="4"/>
    </row>
    <row r="32" spans="2:14" x14ac:dyDescent="0.3">
      <c r="D32" s="34"/>
      <c r="F32" s="36"/>
      <c r="G32" s="36"/>
      <c r="L32" s="4"/>
    </row>
    <row r="33" spans="4:12" x14ac:dyDescent="0.3">
      <c r="D33" s="34"/>
      <c r="F33" s="36"/>
      <c r="G33" s="36"/>
      <c r="L33" s="4"/>
    </row>
    <row r="34" spans="4:12" x14ac:dyDescent="0.3">
      <c r="D34" s="34"/>
      <c r="F34" s="36"/>
      <c r="G34" s="36"/>
      <c r="L34" s="4"/>
    </row>
    <row r="35" spans="4:12" x14ac:dyDescent="0.3">
      <c r="D35" s="34"/>
      <c r="F35" s="36"/>
      <c r="G35" s="36"/>
      <c r="L35" s="4"/>
    </row>
    <row r="36" spans="4:12" x14ac:dyDescent="0.3">
      <c r="D36" s="34"/>
      <c r="F36" s="36"/>
      <c r="G36" s="36"/>
      <c r="L36" s="4"/>
    </row>
    <row r="37" spans="4:12" x14ac:dyDescent="0.3">
      <c r="D37" s="34"/>
      <c r="F37" s="36"/>
      <c r="G37" s="36"/>
      <c r="L37" s="4"/>
    </row>
    <row r="38" spans="4:12" x14ac:dyDescent="0.3">
      <c r="D38" s="34"/>
      <c r="F38" s="36"/>
      <c r="G38" s="36"/>
      <c r="L38" s="4"/>
    </row>
    <row r="39" spans="4:12" x14ac:dyDescent="0.3">
      <c r="D39" s="34"/>
      <c r="F39" s="36"/>
      <c r="G39" s="36"/>
      <c r="L39" s="4"/>
    </row>
    <row r="40" spans="4:12" x14ac:dyDescent="0.3">
      <c r="D40" s="34"/>
      <c r="F40" s="36"/>
      <c r="G40" s="36"/>
      <c r="L40" s="4"/>
    </row>
    <row r="41" spans="4:12" x14ac:dyDescent="0.3">
      <c r="D41" s="34"/>
      <c r="F41" s="36"/>
      <c r="G41" s="36"/>
      <c r="L41" s="4"/>
    </row>
    <row r="42" spans="4:12" x14ac:dyDescent="0.3">
      <c r="D42" s="34"/>
      <c r="F42" s="36"/>
      <c r="G42" s="36"/>
      <c r="L42" s="4"/>
    </row>
    <row r="43" spans="4:12" x14ac:dyDescent="0.3">
      <c r="D43" s="34"/>
      <c r="F43" s="36"/>
      <c r="G43" s="36"/>
      <c r="L43" s="4"/>
    </row>
    <row r="44" spans="4:12" x14ac:dyDescent="0.3">
      <c r="F44" s="36"/>
      <c r="G44" s="36"/>
      <c r="L44" s="4"/>
    </row>
    <row r="45" spans="4:12" x14ac:dyDescent="0.3">
      <c r="D45" s="34"/>
      <c r="F45" s="36"/>
      <c r="G45" s="36"/>
      <c r="L45" s="4"/>
    </row>
    <row r="46" spans="4:12" x14ac:dyDescent="0.3">
      <c r="D46" s="34"/>
      <c r="F46" s="36"/>
      <c r="G46" s="36"/>
      <c r="L46" s="4"/>
    </row>
    <row r="47" spans="4:12" x14ac:dyDescent="0.3">
      <c r="D47" s="34"/>
      <c r="F47" s="36"/>
      <c r="G47" s="36"/>
      <c r="L47" s="4"/>
    </row>
    <row r="48" spans="4:12" x14ac:dyDescent="0.3">
      <c r="D48" s="34"/>
      <c r="F48" s="36"/>
      <c r="G48" s="36"/>
      <c r="L48" s="4"/>
    </row>
    <row r="49" spans="4:12" x14ac:dyDescent="0.3">
      <c r="D49" s="34"/>
      <c r="F49" s="36"/>
      <c r="G49" s="36"/>
      <c r="L49" s="4"/>
    </row>
    <row r="50" spans="4:12" x14ac:dyDescent="0.3">
      <c r="D50" s="34"/>
      <c r="F50" s="36"/>
      <c r="G50" s="36"/>
      <c r="L50" s="4"/>
    </row>
    <row r="51" spans="4:12" x14ac:dyDescent="0.3">
      <c r="D51" s="34"/>
      <c r="F51" s="36"/>
      <c r="G51" s="36"/>
      <c r="L51" s="4"/>
    </row>
    <row r="52" spans="4:12" x14ac:dyDescent="0.3">
      <c r="D52" s="34"/>
      <c r="F52" s="36"/>
      <c r="G52" s="36"/>
      <c r="L52" s="4"/>
    </row>
    <row r="53" spans="4:12" x14ac:dyDescent="0.3">
      <c r="D53" s="34"/>
      <c r="F53" s="36"/>
      <c r="G53" s="36"/>
      <c r="L53" s="4"/>
    </row>
    <row r="54" spans="4:12" x14ac:dyDescent="0.3">
      <c r="D54" s="34"/>
      <c r="F54" s="36"/>
      <c r="G54" s="36"/>
      <c r="L54" s="4"/>
    </row>
    <row r="55" spans="4:12" x14ac:dyDescent="0.3">
      <c r="D55" s="34"/>
      <c r="F55" s="36"/>
      <c r="G55" s="36"/>
      <c r="L55" s="4"/>
    </row>
    <row r="56" spans="4:12" x14ac:dyDescent="0.3">
      <c r="D56" s="34"/>
      <c r="F56" s="36"/>
      <c r="G56" s="36"/>
      <c r="L56" s="4"/>
    </row>
    <row r="57" spans="4:12" x14ac:dyDescent="0.3">
      <c r="D57" s="34"/>
      <c r="F57" s="36"/>
      <c r="G57" s="36"/>
      <c r="L57" s="4"/>
    </row>
    <row r="58" spans="4:12" x14ac:dyDescent="0.3">
      <c r="D58" s="34"/>
      <c r="F58" s="36"/>
      <c r="G58" s="36"/>
      <c r="L58" s="4"/>
    </row>
    <row r="59" spans="4:12" x14ac:dyDescent="0.3">
      <c r="D59" s="34"/>
      <c r="F59" s="36"/>
      <c r="G59" s="36"/>
      <c r="L59" s="4"/>
    </row>
    <row r="60" spans="4:12" x14ac:dyDescent="0.3">
      <c r="D60" s="34"/>
      <c r="F60" s="36"/>
      <c r="G60" s="36"/>
      <c r="L60" s="4"/>
    </row>
    <row r="61" spans="4:12" x14ac:dyDescent="0.3">
      <c r="D61" s="34"/>
      <c r="F61" s="36"/>
      <c r="G61" s="36"/>
      <c r="L61" s="4"/>
    </row>
    <row r="62" spans="4:12" x14ac:dyDescent="0.3">
      <c r="D62" s="34"/>
      <c r="F62" s="36"/>
      <c r="G62" s="36"/>
      <c r="L62" s="4"/>
    </row>
    <row r="63" spans="4:12" x14ac:dyDescent="0.3">
      <c r="D63" s="34"/>
      <c r="F63" s="36"/>
      <c r="G63" s="36"/>
      <c r="L63" s="4"/>
    </row>
    <row r="64" spans="4:12" x14ac:dyDescent="0.3">
      <c r="D64" s="34"/>
      <c r="F64" s="36"/>
      <c r="G64" s="36"/>
      <c r="L64" s="4"/>
    </row>
    <row r="65" spans="4:12" x14ac:dyDescent="0.3">
      <c r="D65" s="34"/>
      <c r="F65" s="36"/>
      <c r="G65" s="36"/>
      <c r="L65" s="4"/>
    </row>
    <row r="66" spans="4:12" x14ac:dyDescent="0.3">
      <c r="D66" s="34"/>
      <c r="F66" s="36"/>
      <c r="G66" s="36"/>
      <c r="L66" s="4"/>
    </row>
    <row r="67" spans="4:12" x14ac:dyDescent="0.3">
      <c r="D67" s="34"/>
      <c r="F67" s="36"/>
      <c r="G67" s="36"/>
      <c r="L67" s="4"/>
    </row>
    <row r="68" spans="4:12" x14ac:dyDescent="0.3">
      <c r="D68" s="34"/>
      <c r="F68" s="36"/>
      <c r="G68" s="36"/>
      <c r="L68" s="4"/>
    </row>
    <row r="69" spans="4:12" x14ac:dyDescent="0.3">
      <c r="D69" s="34"/>
      <c r="F69" s="36"/>
      <c r="G69" s="36"/>
      <c r="L69" s="4"/>
    </row>
    <row r="70" spans="4:12" x14ac:dyDescent="0.3">
      <c r="D70" s="34"/>
      <c r="F70" s="36"/>
      <c r="G70" s="36"/>
      <c r="L70" s="4"/>
    </row>
    <row r="71" spans="4:12" x14ac:dyDescent="0.3">
      <c r="D71" s="34"/>
      <c r="F71" s="36"/>
      <c r="G71" s="36"/>
      <c r="L71" s="4"/>
    </row>
    <row r="72" spans="4:12" x14ac:dyDescent="0.3">
      <c r="D72" s="34"/>
      <c r="F72" s="36"/>
      <c r="G72" s="36"/>
      <c r="L72" s="4"/>
    </row>
    <row r="73" spans="4:12" x14ac:dyDescent="0.3">
      <c r="D73" s="34"/>
      <c r="F73" s="36"/>
      <c r="G73" s="36"/>
      <c r="L73" s="4"/>
    </row>
    <row r="74" spans="4:12" x14ac:dyDescent="0.3">
      <c r="D74" s="34"/>
      <c r="F74" s="36"/>
      <c r="G74" s="36"/>
      <c r="L74" s="4"/>
    </row>
    <row r="75" spans="4:12" x14ac:dyDescent="0.3">
      <c r="D75" s="34"/>
      <c r="F75" s="36"/>
      <c r="G75" s="36"/>
      <c r="L75" s="4"/>
    </row>
    <row r="76" spans="4:12" x14ac:dyDescent="0.3">
      <c r="D76" s="34"/>
      <c r="F76" s="36"/>
      <c r="G76" s="36"/>
      <c r="L76" s="4"/>
    </row>
    <row r="77" spans="4:12" x14ac:dyDescent="0.3">
      <c r="D77" s="34"/>
      <c r="F77" s="36"/>
      <c r="G77" s="36"/>
      <c r="L77" s="4"/>
    </row>
    <row r="78" spans="4:12" x14ac:dyDescent="0.3">
      <c r="D78" s="34"/>
      <c r="F78" s="36"/>
      <c r="G78" s="36"/>
      <c r="L78" s="4"/>
    </row>
    <row r="79" spans="4:12" x14ac:dyDescent="0.3">
      <c r="D79" s="34"/>
      <c r="F79" s="36"/>
      <c r="G79" s="36"/>
      <c r="L79" s="4"/>
    </row>
    <row r="80" spans="4:12" x14ac:dyDescent="0.3">
      <c r="D80" s="34"/>
      <c r="F80" s="36"/>
      <c r="G80" s="36"/>
      <c r="L80" s="4"/>
    </row>
    <row r="81" spans="4:12" x14ac:dyDescent="0.3">
      <c r="D81" s="34"/>
      <c r="F81" s="36"/>
      <c r="G81" s="36"/>
      <c r="L81" s="4"/>
    </row>
    <row r="82" spans="4:12" x14ac:dyDescent="0.3">
      <c r="D82" s="34"/>
      <c r="F82" s="36"/>
      <c r="G82" s="36"/>
      <c r="L82" s="4"/>
    </row>
    <row r="83" spans="4:12" x14ac:dyDescent="0.3">
      <c r="D83" s="34"/>
      <c r="F83" s="36"/>
      <c r="G83" s="36"/>
      <c r="L83" s="4"/>
    </row>
    <row r="84" spans="4:12" x14ac:dyDescent="0.3">
      <c r="D84" s="34"/>
      <c r="F84" s="36"/>
      <c r="G84" s="36"/>
      <c r="L84" s="4"/>
    </row>
    <row r="85" spans="4:12" x14ac:dyDescent="0.3">
      <c r="D85" s="34"/>
      <c r="F85" s="36"/>
      <c r="G85" s="36"/>
      <c r="L85" s="4"/>
    </row>
    <row r="86" spans="4:12" x14ac:dyDescent="0.3">
      <c r="D86" s="34"/>
      <c r="F86" s="36"/>
      <c r="G86" s="36"/>
      <c r="L86" s="4"/>
    </row>
    <row r="87" spans="4:12" x14ac:dyDescent="0.3">
      <c r="D87" s="34"/>
      <c r="F87" s="36"/>
      <c r="G87" s="36"/>
      <c r="L87" s="4"/>
    </row>
    <row r="88" spans="4:12" x14ac:dyDescent="0.3">
      <c r="L88" s="4"/>
    </row>
    <row r="89" spans="4:12" x14ac:dyDescent="0.3">
      <c r="L89" s="4"/>
    </row>
    <row r="90" spans="4:12" x14ac:dyDescent="0.3">
      <c r="L90" s="4"/>
    </row>
    <row r="91" spans="4:12" x14ac:dyDescent="0.3">
      <c r="L91" s="4"/>
    </row>
    <row r="92" spans="4:12" x14ac:dyDescent="0.3">
      <c r="L92" s="4"/>
    </row>
    <row r="93" spans="4:12" x14ac:dyDescent="0.3">
      <c r="L93" s="4"/>
    </row>
    <row r="94" spans="4:12" x14ac:dyDescent="0.3">
      <c r="L94" s="4"/>
    </row>
    <row r="95" spans="4:12" x14ac:dyDescent="0.3">
      <c r="L95" s="4"/>
    </row>
    <row r="96" spans="4:12" x14ac:dyDescent="0.3">
      <c r="L96" s="4"/>
    </row>
    <row r="97" spans="12:12" x14ac:dyDescent="0.3">
      <c r="L97" s="4"/>
    </row>
    <row r="98" spans="12:12" x14ac:dyDescent="0.3">
      <c r="L98" s="4"/>
    </row>
    <row r="99" spans="12:12" x14ac:dyDescent="0.3">
      <c r="L99" s="4"/>
    </row>
    <row r="100" spans="12:12" x14ac:dyDescent="0.3">
      <c r="L100" s="4"/>
    </row>
    <row r="101" spans="12:12" x14ac:dyDescent="0.3">
      <c r="L101" s="4"/>
    </row>
    <row r="102" spans="12:12" x14ac:dyDescent="0.3">
      <c r="L102" s="4"/>
    </row>
    <row r="103" spans="12:12" x14ac:dyDescent="0.3">
      <c r="L103" s="4"/>
    </row>
    <row r="104" spans="12:12" x14ac:dyDescent="0.3">
      <c r="L104" s="4"/>
    </row>
    <row r="134" spans="8:10" x14ac:dyDescent="0.3">
      <c r="H134" s="40" t="str">
        <f t="shared" ref="H134:H197" si="2">IF($D134="","",SUMIF(AllProduct,$D134,AllOrders))</f>
        <v/>
      </c>
      <c r="I134" s="40" t="str">
        <f t="shared" ref="I134:I197" si="3">IF($D134="","",SUMIF(AllReceived,$D134,ReceivedTot)-H134)</f>
        <v/>
      </c>
      <c r="J134" s="41" t="str">
        <f t="shared" ref="J134" si="4">IF($I134="","",IF($I134&lt;=0,"Out of Stock",IF($I134&lt;=50,"Reorder Now","Fine")))</f>
        <v/>
      </c>
    </row>
    <row r="135" spans="8:10" x14ac:dyDescent="0.3">
      <c r="H135" s="40" t="str">
        <f t="shared" si="2"/>
        <v/>
      </c>
      <c r="I135" s="40" t="str">
        <f t="shared" si="3"/>
        <v/>
      </c>
      <c r="J135" s="41" t="str">
        <f t="shared" ref="J135:J198" si="5">IF($I135="","",IF($I135&lt;=0,"Out of Stock",IF($I135&lt;=50,"Reorder Now","Fine")))</f>
        <v/>
      </c>
    </row>
    <row r="136" spans="8:10" x14ac:dyDescent="0.3">
      <c r="H136" s="40" t="str">
        <f t="shared" si="2"/>
        <v/>
      </c>
      <c r="I136" s="40" t="str">
        <f t="shared" si="3"/>
        <v/>
      </c>
      <c r="J136" s="41" t="str">
        <f t="shared" si="5"/>
        <v/>
      </c>
    </row>
    <row r="137" spans="8:10" x14ac:dyDescent="0.3">
      <c r="H137" s="40" t="str">
        <f t="shared" si="2"/>
        <v/>
      </c>
      <c r="I137" s="40" t="str">
        <f t="shared" si="3"/>
        <v/>
      </c>
      <c r="J137" s="41" t="str">
        <f t="shared" si="5"/>
        <v/>
      </c>
    </row>
    <row r="138" spans="8:10" x14ac:dyDescent="0.3">
      <c r="H138" s="40" t="str">
        <f t="shared" si="2"/>
        <v/>
      </c>
      <c r="I138" s="40" t="str">
        <f t="shared" si="3"/>
        <v/>
      </c>
      <c r="J138" s="41" t="str">
        <f t="shared" si="5"/>
        <v/>
      </c>
    </row>
    <row r="139" spans="8:10" x14ac:dyDescent="0.3">
      <c r="H139" s="40" t="str">
        <f t="shared" si="2"/>
        <v/>
      </c>
      <c r="I139" s="40" t="str">
        <f t="shared" si="3"/>
        <v/>
      </c>
      <c r="J139" s="41" t="str">
        <f t="shared" si="5"/>
        <v/>
      </c>
    </row>
    <row r="140" spans="8:10" x14ac:dyDescent="0.3">
      <c r="H140" s="40" t="str">
        <f t="shared" si="2"/>
        <v/>
      </c>
      <c r="I140" s="40" t="str">
        <f t="shared" si="3"/>
        <v/>
      </c>
      <c r="J140" s="41" t="str">
        <f t="shared" si="5"/>
        <v/>
      </c>
    </row>
    <row r="141" spans="8:10" x14ac:dyDescent="0.3">
      <c r="H141" s="40" t="str">
        <f t="shared" si="2"/>
        <v/>
      </c>
      <c r="I141" s="40" t="str">
        <f t="shared" si="3"/>
        <v/>
      </c>
      <c r="J141" s="41" t="str">
        <f t="shared" si="5"/>
        <v/>
      </c>
    </row>
    <row r="142" spans="8:10" x14ac:dyDescent="0.3">
      <c r="H142" s="40" t="str">
        <f t="shared" si="2"/>
        <v/>
      </c>
      <c r="I142" s="40" t="str">
        <f t="shared" si="3"/>
        <v/>
      </c>
      <c r="J142" s="41" t="str">
        <f t="shared" si="5"/>
        <v/>
      </c>
    </row>
    <row r="143" spans="8:10" x14ac:dyDescent="0.3">
      <c r="H143" s="40" t="str">
        <f t="shared" si="2"/>
        <v/>
      </c>
      <c r="I143" s="40" t="str">
        <f t="shared" si="3"/>
        <v/>
      </c>
      <c r="J143" s="41" t="str">
        <f t="shared" si="5"/>
        <v/>
      </c>
    </row>
    <row r="144" spans="8:10" x14ac:dyDescent="0.3">
      <c r="H144" s="40" t="str">
        <f t="shared" si="2"/>
        <v/>
      </c>
      <c r="I144" s="40" t="str">
        <f t="shared" si="3"/>
        <v/>
      </c>
      <c r="J144" s="41" t="str">
        <f t="shared" si="5"/>
        <v/>
      </c>
    </row>
    <row r="145" spans="8:10" x14ac:dyDescent="0.3">
      <c r="H145" s="40" t="str">
        <f t="shared" si="2"/>
        <v/>
      </c>
      <c r="I145" s="40" t="str">
        <f t="shared" si="3"/>
        <v/>
      </c>
      <c r="J145" s="41" t="str">
        <f t="shared" si="5"/>
        <v/>
      </c>
    </row>
    <row r="146" spans="8:10" x14ac:dyDescent="0.3">
      <c r="H146" s="40" t="str">
        <f t="shared" si="2"/>
        <v/>
      </c>
      <c r="I146" s="40" t="str">
        <f t="shared" si="3"/>
        <v/>
      </c>
      <c r="J146" s="41" t="str">
        <f t="shared" si="5"/>
        <v/>
      </c>
    </row>
    <row r="147" spans="8:10" x14ac:dyDescent="0.3">
      <c r="H147" s="40" t="str">
        <f t="shared" si="2"/>
        <v/>
      </c>
      <c r="I147" s="40" t="str">
        <f t="shared" si="3"/>
        <v/>
      </c>
      <c r="J147" s="41" t="str">
        <f t="shared" si="5"/>
        <v/>
      </c>
    </row>
    <row r="148" spans="8:10" x14ac:dyDescent="0.3">
      <c r="H148" s="40" t="str">
        <f t="shared" si="2"/>
        <v/>
      </c>
      <c r="I148" s="40" t="str">
        <f t="shared" si="3"/>
        <v/>
      </c>
      <c r="J148" s="41" t="str">
        <f t="shared" si="5"/>
        <v/>
      </c>
    </row>
    <row r="149" spans="8:10" x14ac:dyDescent="0.3">
      <c r="H149" s="40" t="str">
        <f t="shared" si="2"/>
        <v/>
      </c>
      <c r="I149" s="40" t="str">
        <f t="shared" si="3"/>
        <v/>
      </c>
      <c r="J149" s="41" t="str">
        <f t="shared" si="5"/>
        <v/>
      </c>
    </row>
    <row r="150" spans="8:10" x14ac:dyDescent="0.3">
      <c r="H150" s="40" t="str">
        <f t="shared" si="2"/>
        <v/>
      </c>
      <c r="I150" s="40" t="str">
        <f t="shared" si="3"/>
        <v/>
      </c>
      <c r="J150" s="41" t="str">
        <f t="shared" si="5"/>
        <v/>
      </c>
    </row>
    <row r="151" spans="8:10" x14ac:dyDescent="0.3">
      <c r="H151" s="40" t="str">
        <f t="shared" si="2"/>
        <v/>
      </c>
      <c r="I151" s="40" t="str">
        <f t="shared" si="3"/>
        <v/>
      </c>
      <c r="J151" s="41" t="str">
        <f t="shared" si="5"/>
        <v/>
      </c>
    </row>
    <row r="152" spans="8:10" x14ac:dyDescent="0.3">
      <c r="H152" s="40" t="str">
        <f t="shared" si="2"/>
        <v/>
      </c>
      <c r="I152" s="40" t="str">
        <f t="shared" si="3"/>
        <v/>
      </c>
      <c r="J152" s="41" t="str">
        <f t="shared" si="5"/>
        <v/>
      </c>
    </row>
    <row r="153" spans="8:10" x14ac:dyDescent="0.3">
      <c r="H153" s="40" t="str">
        <f t="shared" si="2"/>
        <v/>
      </c>
      <c r="I153" s="40" t="str">
        <f t="shared" si="3"/>
        <v/>
      </c>
      <c r="J153" s="41" t="str">
        <f t="shared" si="5"/>
        <v/>
      </c>
    </row>
    <row r="154" spans="8:10" x14ac:dyDescent="0.3">
      <c r="H154" s="40" t="str">
        <f t="shared" si="2"/>
        <v/>
      </c>
      <c r="I154" s="40" t="str">
        <f t="shared" si="3"/>
        <v/>
      </c>
      <c r="J154" s="41" t="str">
        <f t="shared" si="5"/>
        <v/>
      </c>
    </row>
    <row r="155" spans="8:10" x14ac:dyDescent="0.3">
      <c r="H155" s="40" t="str">
        <f t="shared" si="2"/>
        <v/>
      </c>
      <c r="I155" s="40" t="str">
        <f t="shared" si="3"/>
        <v/>
      </c>
      <c r="J155" s="41" t="str">
        <f t="shared" si="5"/>
        <v/>
      </c>
    </row>
    <row r="156" spans="8:10" x14ac:dyDescent="0.3">
      <c r="H156" s="40" t="str">
        <f t="shared" si="2"/>
        <v/>
      </c>
      <c r="I156" s="40" t="str">
        <f t="shared" si="3"/>
        <v/>
      </c>
      <c r="J156" s="41" t="str">
        <f t="shared" si="5"/>
        <v/>
      </c>
    </row>
    <row r="157" spans="8:10" x14ac:dyDescent="0.3">
      <c r="H157" s="40" t="str">
        <f t="shared" si="2"/>
        <v/>
      </c>
      <c r="I157" s="40" t="str">
        <f t="shared" si="3"/>
        <v/>
      </c>
      <c r="J157" s="41" t="str">
        <f t="shared" si="5"/>
        <v/>
      </c>
    </row>
    <row r="158" spans="8:10" x14ac:dyDescent="0.3">
      <c r="H158" s="40" t="str">
        <f t="shared" si="2"/>
        <v/>
      </c>
      <c r="I158" s="40" t="str">
        <f t="shared" si="3"/>
        <v/>
      </c>
      <c r="J158" s="41" t="str">
        <f t="shared" si="5"/>
        <v/>
      </c>
    </row>
    <row r="159" spans="8:10" x14ac:dyDescent="0.3">
      <c r="H159" s="40" t="str">
        <f t="shared" si="2"/>
        <v/>
      </c>
      <c r="I159" s="40" t="str">
        <f t="shared" si="3"/>
        <v/>
      </c>
      <c r="J159" s="41" t="str">
        <f t="shared" si="5"/>
        <v/>
      </c>
    </row>
    <row r="160" spans="8:10" x14ac:dyDescent="0.3">
      <c r="H160" s="40" t="str">
        <f t="shared" si="2"/>
        <v/>
      </c>
      <c r="I160" s="40" t="str">
        <f t="shared" si="3"/>
        <v/>
      </c>
      <c r="J160" s="41" t="str">
        <f t="shared" si="5"/>
        <v/>
      </c>
    </row>
    <row r="161" spans="8:10" x14ac:dyDescent="0.3">
      <c r="H161" s="40" t="str">
        <f t="shared" si="2"/>
        <v/>
      </c>
      <c r="I161" s="40" t="str">
        <f t="shared" si="3"/>
        <v/>
      </c>
      <c r="J161" s="41" t="str">
        <f t="shared" si="5"/>
        <v/>
      </c>
    </row>
    <row r="162" spans="8:10" x14ac:dyDescent="0.3">
      <c r="H162" s="40" t="str">
        <f t="shared" si="2"/>
        <v/>
      </c>
      <c r="I162" s="40" t="str">
        <f t="shared" si="3"/>
        <v/>
      </c>
      <c r="J162" s="41" t="str">
        <f t="shared" si="5"/>
        <v/>
      </c>
    </row>
    <row r="163" spans="8:10" x14ac:dyDescent="0.3">
      <c r="H163" s="40" t="str">
        <f t="shared" si="2"/>
        <v/>
      </c>
      <c r="I163" s="40" t="str">
        <f t="shared" si="3"/>
        <v/>
      </c>
      <c r="J163" s="41" t="str">
        <f t="shared" si="5"/>
        <v/>
      </c>
    </row>
    <row r="164" spans="8:10" x14ac:dyDescent="0.3">
      <c r="H164" s="40" t="str">
        <f t="shared" si="2"/>
        <v/>
      </c>
      <c r="I164" s="40" t="str">
        <f t="shared" si="3"/>
        <v/>
      </c>
      <c r="J164" s="41" t="str">
        <f t="shared" si="5"/>
        <v/>
      </c>
    </row>
    <row r="165" spans="8:10" x14ac:dyDescent="0.3">
      <c r="H165" s="40" t="str">
        <f t="shared" si="2"/>
        <v/>
      </c>
      <c r="I165" s="40" t="str">
        <f t="shared" si="3"/>
        <v/>
      </c>
      <c r="J165" s="41" t="str">
        <f t="shared" si="5"/>
        <v/>
      </c>
    </row>
    <row r="166" spans="8:10" x14ac:dyDescent="0.3">
      <c r="H166" s="40" t="str">
        <f t="shared" si="2"/>
        <v/>
      </c>
      <c r="I166" s="40" t="str">
        <f t="shared" si="3"/>
        <v/>
      </c>
      <c r="J166" s="41" t="str">
        <f t="shared" si="5"/>
        <v/>
      </c>
    </row>
    <row r="167" spans="8:10" x14ac:dyDescent="0.3">
      <c r="H167" s="40" t="str">
        <f t="shared" si="2"/>
        <v/>
      </c>
      <c r="I167" s="40" t="str">
        <f t="shared" si="3"/>
        <v/>
      </c>
      <c r="J167" s="41" t="str">
        <f t="shared" si="5"/>
        <v/>
      </c>
    </row>
    <row r="168" spans="8:10" x14ac:dyDescent="0.3">
      <c r="H168" s="40" t="str">
        <f t="shared" si="2"/>
        <v/>
      </c>
      <c r="I168" s="40" t="str">
        <f t="shared" si="3"/>
        <v/>
      </c>
      <c r="J168" s="41" t="str">
        <f t="shared" si="5"/>
        <v/>
      </c>
    </row>
    <row r="169" spans="8:10" x14ac:dyDescent="0.3">
      <c r="H169" s="40" t="str">
        <f t="shared" si="2"/>
        <v/>
      </c>
      <c r="I169" s="40" t="str">
        <f t="shared" si="3"/>
        <v/>
      </c>
      <c r="J169" s="41" t="str">
        <f t="shared" si="5"/>
        <v/>
      </c>
    </row>
    <row r="170" spans="8:10" x14ac:dyDescent="0.3">
      <c r="H170" s="40" t="str">
        <f t="shared" si="2"/>
        <v/>
      </c>
      <c r="I170" s="40" t="str">
        <f t="shared" si="3"/>
        <v/>
      </c>
      <c r="J170" s="41" t="str">
        <f t="shared" si="5"/>
        <v/>
      </c>
    </row>
    <row r="171" spans="8:10" x14ac:dyDescent="0.3">
      <c r="H171" s="40" t="str">
        <f t="shared" si="2"/>
        <v/>
      </c>
      <c r="I171" s="40" t="str">
        <f t="shared" si="3"/>
        <v/>
      </c>
      <c r="J171" s="41" t="str">
        <f t="shared" si="5"/>
        <v/>
      </c>
    </row>
    <row r="172" spans="8:10" x14ac:dyDescent="0.3">
      <c r="H172" s="40" t="str">
        <f t="shared" si="2"/>
        <v/>
      </c>
      <c r="I172" s="40" t="str">
        <f t="shared" si="3"/>
        <v/>
      </c>
      <c r="J172" s="41" t="str">
        <f t="shared" si="5"/>
        <v/>
      </c>
    </row>
    <row r="173" spans="8:10" x14ac:dyDescent="0.3">
      <c r="H173" s="40" t="str">
        <f t="shared" si="2"/>
        <v/>
      </c>
      <c r="I173" s="40" t="str">
        <f t="shared" si="3"/>
        <v/>
      </c>
      <c r="J173" s="41" t="str">
        <f t="shared" si="5"/>
        <v/>
      </c>
    </row>
    <row r="174" spans="8:10" x14ac:dyDescent="0.3">
      <c r="H174" s="40" t="str">
        <f t="shared" si="2"/>
        <v/>
      </c>
      <c r="I174" s="40" t="str">
        <f t="shared" si="3"/>
        <v/>
      </c>
      <c r="J174" s="41" t="str">
        <f t="shared" si="5"/>
        <v/>
      </c>
    </row>
    <row r="175" spans="8:10" x14ac:dyDescent="0.3">
      <c r="H175" s="40" t="str">
        <f t="shared" si="2"/>
        <v/>
      </c>
      <c r="I175" s="40" t="str">
        <f t="shared" si="3"/>
        <v/>
      </c>
      <c r="J175" s="41" t="str">
        <f t="shared" si="5"/>
        <v/>
      </c>
    </row>
    <row r="176" spans="8:10" x14ac:dyDescent="0.3">
      <c r="H176" s="40" t="str">
        <f t="shared" si="2"/>
        <v/>
      </c>
      <c r="I176" s="40" t="str">
        <f t="shared" si="3"/>
        <v/>
      </c>
      <c r="J176" s="41" t="str">
        <f t="shared" si="5"/>
        <v/>
      </c>
    </row>
    <row r="177" spans="8:10" x14ac:dyDescent="0.3">
      <c r="H177" s="40" t="str">
        <f t="shared" si="2"/>
        <v/>
      </c>
      <c r="I177" s="40" t="str">
        <f t="shared" si="3"/>
        <v/>
      </c>
      <c r="J177" s="41" t="str">
        <f t="shared" si="5"/>
        <v/>
      </c>
    </row>
    <row r="178" spans="8:10" x14ac:dyDescent="0.3">
      <c r="H178" s="40" t="str">
        <f t="shared" si="2"/>
        <v/>
      </c>
      <c r="I178" s="40" t="str">
        <f t="shared" si="3"/>
        <v/>
      </c>
      <c r="J178" s="41" t="str">
        <f t="shared" si="5"/>
        <v/>
      </c>
    </row>
    <row r="179" spans="8:10" x14ac:dyDescent="0.3">
      <c r="H179" s="40" t="str">
        <f t="shared" si="2"/>
        <v/>
      </c>
      <c r="I179" s="40" t="str">
        <f t="shared" si="3"/>
        <v/>
      </c>
      <c r="J179" s="41" t="str">
        <f t="shared" si="5"/>
        <v/>
      </c>
    </row>
    <row r="180" spans="8:10" x14ac:dyDescent="0.3">
      <c r="H180" s="40" t="str">
        <f t="shared" si="2"/>
        <v/>
      </c>
      <c r="I180" s="40" t="str">
        <f t="shared" si="3"/>
        <v/>
      </c>
      <c r="J180" s="41" t="str">
        <f t="shared" si="5"/>
        <v/>
      </c>
    </row>
    <row r="181" spans="8:10" x14ac:dyDescent="0.3">
      <c r="H181" s="40" t="str">
        <f t="shared" si="2"/>
        <v/>
      </c>
      <c r="I181" s="40" t="str">
        <f t="shared" si="3"/>
        <v/>
      </c>
      <c r="J181" s="41" t="str">
        <f t="shared" si="5"/>
        <v/>
      </c>
    </row>
    <row r="182" spans="8:10" x14ac:dyDescent="0.3">
      <c r="H182" s="40" t="str">
        <f t="shared" si="2"/>
        <v/>
      </c>
      <c r="I182" s="40" t="str">
        <f t="shared" si="3"/>
        <v/>
      </c>
      <c r="J182" s="41" t="str">
        <f t="shared" si="5"/>
        <v/>
      </c>
    </row>
    <row r="183" spans="8:10" x14ac:dyDescent="0.3">
      <c r="H183" s="40" t="str">
        <f t="shared" si="2"/>
        <v/>
      </c>
      <c r="I183" s="40" t="str">
        <f t="shared" si="3"/>
        <v/>
      </c>
      <c r="J183" s="41" t="str">
        <f t="shared" si="5"/>
        <v/>
      </c>
    </row>
    <row r="184" spans="8:10" x14ac:dyDescent="0.3">
      <c r="H184" s="40" t="str">
        <f t="shared" si="2"/>
        <v/>
      </c>
      <c r="I184" s="40" t="str">
        <f t="shared" si="3"/>
        <v/>
      </c>
      <c r="J184" s="41" t="str">
        <f t="shared" si="5"/>
        <v/>
      </c>
    </row>
    <row r="185" spans="8:10" x14ac:dyDescent="0.3">
      <c r="H185" s="40" t="str">
        <f t="shared" si="2"/>
        <v/>
      </c>
      <c r="I185" s="40" t="str">
        <f t="shared" si="3"/>
        <v/>
      </c>
      <c r="J185" s="41" t="str">
        <f t="shared" si="5"/>
        <v/>
      </c>
    </row>
    <row r="186" spans="8:10" x14ac:dyDescent="0.3">
      <c r="H186" s="40" t="str">
        <f t="shared" si="2"/>
        <v/>
      </c>
      <c r="I186" s="40" t="str">
        <f t="shared" si="3"/>
        <v/>
      </c>
      <c r="J186" s="41" t="str">
        <f t="shared" si="5"/>
        <v/>
      </c>
    </row>
    <row r="187" spans="8:10" x14ac:dyDescent="0.3">
      <c r="H187" s="40" t="str">
        <f t="shared" si="2"/>
        <v/>
      </c>
      <c r="I187" s="40" t="str">
        <f t="shared" si="3"/>
        <v/>
      </c>
      <c r="J187" s="41" t="str">
        <f t="shared" si="5"/>
        <v/>
      </c>
    </row>
    <row r="188" spans="8:10" x14ac:dyDescent="0.3">
      <c r="H188" s="40" t="str">
        <f t="shared" si="2"/>
        <v/>
      </c>
      <c r="I188" s="40" t="str">
        <f t="shared" si="3"/>
        <v/>
      </c>
      <c r="J188" s="41" t="str">
        <f t="shared" si="5"/>
        <v/>
      </c>
    </row>
    <row r="189" spans="8:10" x14ac:dyDescent="0.3">
      <c r="H189" s="40" t="str">
        <f t="shared" si="2"/>
        <v/>
      </c>
      <c r="I189" s="40" t="str">
        <f t="shared" si="3"/>
        <v/>
      </c>
      <c r="J189" s="41" t="str">
        <f t="shared" si="5"/>
        <v/>
      </c>
    </row>
    <row r="190" spans="8:10" x14ac:dyDescent="0.3">
      <c r="H190" s="40" t="str">
        <f t="shared" si="2"/>
        <v/>
      </c>
      <c r="I190" s="40" t="str">
        <f t="shared" si="3"/>
        <v/>
      </c>
      <c r="J190" s="41" t="str">
        <f t="shared" si="5"/>
        <v/>
      </c>
    </row>
    <row r="191" spans="8:10" x14ac:dyDescent="0.3">
      <c r="H191" s="40" t="str">
        <f t="shared" si="2"/>
        <v/>
      </c>
      <c r="I191" s="40" t="str">
        <f t="shared" si="3"/>
        <v/>
      </c>
      <c r="J191" s="41" t="str">
        <f t="shared" si="5"/>
        <v/>
      </c>
    </row>
    <row r="192" spans="8:10" x14ac:dyDescent="0.3">
      <c r="H192" s="40" t="str">
        <f t="shared" si="2"/>
        <v/>
      </c>
      <c r="I192" s="40" t="str">
        <f t="shared" si="3"/>
        <v/>
      </c>
      <c r="J192" s="41" t="str">
        <f t="shared" si="5"/>
        <v/>
      </c>
    </row>
    <row r="193" spans="8:10" x14ac:dyDescent="0.3">
      <c r="H193" s="40" t="str">
        <f t="shared" si="2"/>
        <v/>
      </c>
      <c r="I193" s="40" t="str">
        <f t="shared" si="3"/>
        <v/>
      </c>
      <c r="J193" s="41" t="str">
        <f t="shared" si="5"/>
        <v/>
      </c>
    </row>
    <row r="194" spans="8:10" x14ac:dyDescent="0.3">
      <c r="H194" s="40" t="str">
        <f t="shared" si="2"/>
        <v/>
      </c>
      <c r="I194" s="40" t="str">
        <f t="shared" si="3"/>
        <v/>
      </c>
      <c r="J194" s="41" t="str">
        <f t="shared" si="5"/>
        <v/>
      </c>
    </row>
    <row r="195" spans="8:10" x14ac:dyDescent="0.3">
      <c r="H195" s="40" t="str">
        <f t="shared" si="2"/>
        <v/>
      </c>
      <c r="I195" s="40" t="str">
        <f t="shared" si="3"/>
        <v/>
      </c>
      <c r="J195" s="41" t="str">
        <f t="shared" si="5"/>
        <v/>
      </c>
    </row>
    <row r="196" spans="8:10" x14ac:dyDescent="0.3">
      <c r="H196" s="40" t="str">
        <f t="shared" si="2"/>
        <v/>
      </c>
      <c r="I196" s="40" t="str">
        <f t="shared" si="3"/>
        <v/>
      </c>
      <c r="J196" s="41" t="str">
        <f t="shared" si="5"/>
        <v/>
      </c>
    </row>
    <row r="197" spans="8:10" x14ac:dyDescent="0.3">
      <c r="H197" s="40" t="str">
        <f t="shared" si="2"/>
        <v/>
      </c>
      <c r="I197" s="40" t="str">
        <f t="shared" si="3"/>
        <v/>
      </c>
      <c r="J197" s="41" t="str">
        <f t="shared" si="5"/>
        <v/>
      </c>
    </row>
    <row r="198" spans="8:10" x14ac:dyDescent="0.3">
      <c r="H198" s="40" t="str">
        <f t="shared" ref="H198:H247" si="6">IF($D198="","",SUMIF(AllProduct,$D198,AllOrders))</f>
        <v/>
      </c>
      <c r="I198" s="40" t="str">
        <f t="shared" ref="I198:I239" si="7">IF($D198="","",SUMIF(AllReceived,$D198,ReceivedTot)-H198)</f>
        <v/>
      </c>
      <c r="J198" s="41" t="str">
        <f t="shared" si="5"/>
        <v/>
      </c>
    </row>
    <row r="199" spans="8:10" x14ac:dyDescent="0.3">
      <c r="H199" s="40" t="str">
        <f t="shared" si="6"/>
        <v/>
      </c>
      <c r="I199" s="40" t="str">
        <f t="shared" si="7"/>
        <v/>
      </c>
      <c r="J199" s="41" t="str">
        <f t="shared" ref="J199:J237" si="8">IF($I199="","",IF($I199&lt;=0,"Out of Stock",IF($I199&lt;=50,"Reorder Now","Fine")))</f>
        <v/>
      </c>
    </row>
    <row r="200" spans="8:10" x14ac:dyDescent="0.3">
      <c r="H200" s="40" t="str">
        <f t="shared" si="6"/>
        <v/>
      </c>
      <c r="I200" s="40" t="str">
        <f t="shared" si="7"/>
        <v/>
      </c>
      <c r="J200" s="41" t="str">
        <f t="shared" si="8"/>
        <v/>
      </c>
    </row>
    <row r="201" spans="8:10" x14ac:dyDescent="0.3">
      <c r="H201" s="40" t="str">
        <f t="shared" si="6"/>
        <v/>
      </c>
      <c r="I201" s="40" t="str">
        <f t="shared" si="7"/>
        <v/>
      </c>
      <c r="J201" s="41" t="str">
        <f t="shared" si="8"/>
        <v/>
      </c>
    </row>
    <row r="202" spans="8:10" x14ac:dyDescent="0.3">
      <c r="H202" s="40" t="str">
        <f t="shared" si="6"/>
        <v/>
      </c>
      <c r="I202" s="40" t="str">
        <f t="shared" si="7"/>
        <v/>
      </c>
      <c r="J202" s="41" t="str">
        <f t="shared" si="8"/>
        <v/>
      </c>
    </row>
    <row r="203" spans="8:10" x14ac:dyDescent="0.3">
      <c r="H203" s="40" t="str">
        <f t="shared" si="6"/>
        <v/>
      </c>
      <c r="I203" s="40" t="str">
        <f t="shared" si="7"/>
        <v/>
      </c>
      <c r="J203" s="41" t="str">
        <f t="shared" si="8"/>
        <v/>
      </c>
    </row>
    <row r="204" spans="8:10" x14ac:dyDescent="0.3">
      <c r="H204" s="40" t="str">
        <f t="shared" si="6"/>
        <v/>
      </c>
      <c r="I204" s="40" t="str">
        <f t="shared" si="7"/>
        <v/>
      </c>
      <c r="J204" s="41" t="str">
        <f t="shared" si="8"/>
        <v/>
      </c>
    </row>
    <row r="205" spans="8:10" x14ac:dyDescent="0.3">
      <c r="H205" s="40" t="str">
        <f t="shared" si="6"/>
        <v/>
      </c>
      <c r="I205" s="40" t="str">
        <f t="shared" si="7"/>
        <v/>
      </c>
      <c r="J205" s="41" t="str">
        <f t="shared" si="8"/>
        <v/>
      </c>
    </row>
    <row r="206" spans="8:10" x14ac:dyDescent="0.3">
      <c r="H206" s="40" t="str">
        <f t="shared" si="6"/>
        <v/>
      </c>
      <c r="I206" s="40" t="str">
        <f t="shared" si="7"/>
        <v/>
      </c>
      <c r="J206" s="41" t="str">
        <f t="shared" si="8"/>
        <v/>
      </c>
    </row>
    <row r="207" spans="8:10" x14ac:dyDescent="0.3">
      <c r="H207" s="40" t="str">
        <f t="shared" si="6"/>
        <v/>
      </c>
      <c r="I207" s="40" t="str">
        <f t="shared" si="7"/>
        <v/>
      </c>
      <c r="J207" s="41" t="str">
        <f t="shared" si="8"/>
        <v/>
      </c>
    </row>
    <row r="208" spans="8:10" x14ac:dyDescent="0.3">
      <c r="H208" s="40" t="str">
        <f t="shared" si="6"/>
        <v/>
      </c>
      <c r="I208" s="40" t="str">
        <f t="shared" si="7"/>
        <v/>
      </c>
      <c r="J208" s="41" t="str">
        <f t="shared" si="8"/>
        <v/>
      </c>
    </row>
    <row r="209" spans="8:10" x14ac:dyDescent="0.3">
      <c r="H209" s="40" t="str">
        <f t="shared" si="6"/>
        <v/>
      </c>
      <c r="I209" s="40" t="str">
        <f t="shared" si="7"/>
        <v/>
      </c>
      <c r="J209" s="41" t="str">
        <f t="shared" si="8"/>
        <v/>
      </c>
    </row>
    <row r="210" spans="8:10" x14ac:dyDescent="0.3">
      <c r="H210" s="40" t="str">
        <f t="shared" si="6"/>
        <v/>
      </c>
      <c r="I210" s="40" t="str">
        <f t="shared" si="7"/>
        <v/>
      </c>
      <c r="J210" s="41" t="str">
        <f t="shared" si="8"/>
        <v/>
      </c>
    </row>
    <row r="211" spans="8:10" x14ac:dyDescent="0.3">
      <c r="H211" s="40" t="str">
        <f t="shared" si="6"/>
        <v/>
      </c>
      <c r="I211" s="40" t="str">
        <f t="shared" si="7"/>
        <v/>
      </c>
      <c r="J211" s="41" t="str">
        <f t="shared" si="8"/>
        <v/>
      </c>
    </row>
    <row r="212" spans="8:10" x14ac:dyDescent="0.3">
      <c r="H212" s="40" t="str">
        <f t="shared" si="6"/>
        <v/>
      </c>
      <c r="I212" s="40" t="str">
        <f t="shared" si="7"/>
        <v/>
      </c>
      <c r="J212" s="41" t="str">
        <f t="shared" si="8"/>
        <v/>
      </c>
    </row>
    <row r="213" spans="8:10" x14ac:dyDescent="0.3">
      <c r="H213" s="40" t="str">
        <f t="shared" si="6"/>
        <v/>
      </c>
      <c r="I213" s="40" t="str">
        <f t="shared" si="7"/>
        <v/>
      </c>
      <c r="J213" s="41" t="str">
        <f t="shared" si="8"/>
        <v/>
      </c>
    </row>
    <row r="214" spans="8:10" x14ac:dyDescent="0.3">
      <c r="H214" s="40" t="str">
        <f t="shared" si="6"/>
        <v/>
      </c>
      <c r="I214" s="40" t="str">
        <f t="shared" si="7"/>
        <v/>
      </c>
      <c r="J214" s="41" t="str">
        <f t="shared" si="8"/>
        <v/>
      </c>
    </row>
    <row r="215" spans="8:10" x14ac:dyDescent="0.3">
      <c r="H215" s="40" t="str">
        <f t="shared" si="6"/>
        <v/>
      </c>
      <c r="I215" s="40" t="str">
        <f t="shared" si="7"/>
        <v/>
      </c>
      <c r="J215" s="41" t="str">
        <f t="shared" si="8"/>
        <v/>
      </c>
    </row>
    <row r="216" spans="8:10" x14ac:dyDescent="0.3">
      <c r="H216" s="40" t="str">
        <f t="shared" si="6"/>
        <v/>
      </c>
      <c r="I216" s="40" t="str">
        <f t="shared" si="7"/>
        <v/>
      </c>
      <c r="J216" s="41" t="str">
        <f t="shared" si="8"/>
        <v/>
      </c>
    </row>
    <row r="217" spans="8:10" x14ac:dyDescent="0.3">
      <c r="H217" s="40" t="str">
        <f t="shared" si="6"/>
        <v/>
      </c>
      <c r="I217" s="40" t="str">
        <f t="shared" si="7"/>
        <v/>
      </c>
      <c r="J217" s="41" t="str">
        <f t="shared" si="8"/>
        <v/>
      </c>
    </row>
    <row r="218" spans="8:10" x14ac:dyDescent="0.3">
      <c r="H218" s="40" t="str">
        <f t="shared" si="6"/>
        <v/>
      </c>
      <c r="I218" s="40" t="str">
        <f t="shared" si="7"/>
        <v/>
      </c>
      <c r="J218" s="41" t="str">
        <f t="shared" si="8"/>
        <v/>
      </c>
    </row>
    <row r="219" spans="8:10" x14ac:dyDescent="0.3">
      <c r="H219" s="40" t="str">
        <f t="shared" si="6"/>
        <v/>
      </c>
      <c r="I219" s="40" t="str">
        <f t="shared" si="7"/>
        <v/>
      </c>
      <c r="J219" s="41" t="str">
        <f t="shared" si="8"/>
        <v/>
      </c>
    </row>
    <row r="220" spans="8:10" x14ac:dyDescent="0.3">
      <c r="H220" s="40" t="str">
        <f t="shared" si="6"/>
        <v/>
      </c>
      <c r="I220" s="40" t="str">
        <f t="shared" si="7"/>
        <v/>
      </c>
      <c r="J220" s="41" t="str">
        <f t="shared" si="8"/>
        <v/>
      </c>
    </row>
    <row r="221" spans="8:10" x14ac:dyDescent="0.3">
      <c r="H221" s="40" t="str">
        <f t="shared" si="6"/>
        <v/>
      </c>
      <c r="I221" s="40" t="str">
        <f t="shared" si="7"/>
        <v/>
      </c>
      <c r="J221" s="41" t="str">
        <f t="shared" si="8"/>
        <v/>
      </c>
    </row>
    <row r="222" spans="8:10" x14ac:dyDescent="0.3">
      <c r="H222" s="40" t="str">
        <f t="shared" si="6"/>
        <v/>
      </c>
      <c r="I222" s="40" t="str">
        <f t="shared" si="7"/>
        <v/>
      </c>
      <c r="J222" s="41" t="str">
        <f t="shared" si="8"/>
        <v/>
      </c>
    </row>
    <row r="223" spans="8:10" x14ac:dyDescent="0.3">
      <c r="H223" s="40" t="str">
        <f t="shared" si="6"/>
        <v/>
      </c>
      <c r="I223" s="40" t="str">
        <f t="shared" si="7"/>
        <v/>
      </c>
      <c r="J223" s="41" t="str">
        <f t="shared" si="8"/>
        <v/>
      </c>
    </row>
    <row r="224" spans="8:10" x14ac:dyDescent="0.3">
      <c r="H224" s="40" t="str">
        <f t="shared" si="6"/>
        <v/>
      </c>
      <c r="I224" s="40" t="str">
        <f t="shared" si="7"/>
        <v/>
      </c>
      <c r="J224" s="41" t="str">
        <f t="shared" si="8"/>
        <v/>
      </c>
    </row>
    <row r="225" spans="8:10" x14ac:dyDescent="0.3">
      <c r="H225" s="40" t="str">
        <f t="shared" si="6"/>
        <v/>
      </c>
      <c r="I225" s="40" t="str">
        <f t="shared" si="7"/>
        <v/>
      </c>
      <c r="J225" s="41" t="str">
        <f t="shared" si="8"/>
        <v/>
      </c>
    </row>
    <row r="226" spans="8:10" x14ac:dyDescent="0.3">
      <c r="H226" s="40" t="str">
        <f t="shared" si="6"/>
        <v/>
      </c>
      <c r="I226" s="40" t="str">
        <f t="shared" si="7"/>
        <v/>
      </c>
      <c r="J226" s="41" t="str">
        <f t="shared" si="8"/>
        <v/>
      </c>
    </row>
    <row r="227" spans="8:10" x14ac:dyDescent="0.3">
      <c r="H227" s="40" t="str">
        <f t="shared" si="6"/>
        <v/>
      </c>
      <c r="I227" s="40" t="str">
        <f t="shared" si="7"/>
        <v/>
      </c>
      <c r="J227" s="41" t="str">
        <f t="shared" si="8"/>
        <v/>
      </c>
    </row>
    <row r="228" spans="8:10" x14ac:dyDescent="0.3">
      <c r="H228" s="40" t="str">
        <f t="shared" si="6"/>
        <v/>
      </c>
      <c r="I228" s="40" t="str">
        <f t="shared" si="7"/>
        <v/>
      </c>
      <c r="J228" s="41" t="str">
        <f t="shared" si="8"/>
        <v/>
      </c>
    </row>
    <row r="229" spans="8:10" x14ac:dyDescent="0.3">
      <c r="H229" s="40" t="str">
        <f t="shared" si="6"/>
        <v/>
      </c>
      <c r="I229" s="40" t="str">
        <f t="shared" si="7"/>
        <v/>
      </c>
      <c r="J229" s="41" t="str">
        <f t="shared" si="8"/>
        <v/>
      </c>
    </row>
    <row r="230" spans="8:10" x14ac:dyDescent="0.3">
      <c r="H230" s="40" t="str">
        <f t="shared" si="6"/>
        <v/>
      </c>
      <c r="I230" s="40" t="str">
        <f t="shared" si="7"/>
        <v/>
      </c>
      <c r="J230" s="41" t="str">
        <f t="shared" si="8"/>
        <v/>
      </c>
    </row>
    <row r="231" spans="8:10" x14ac:dyDescent="0.3">
      <c r="H231" s="40" t="str">
        <f t="shared" si="6"/>
        <v/>
      </c>
      <c r="I231" s="40" t="str">
        <f t="shared" si="7"/>
        <v/>
      </c>
      <c r="J231" s="41" t="str">
        <f t="shared" si="8"/>
        <v/>
      </c>
    </row>
    <row r="232" spans="8:10" x14ac:dyDescent="0.3">
      <c r="H232" s="40" t="str">
        <f t="shared" si="6"/>
        <v/>
      </c>
      <c r="I232" s="40" t="str">
        <f t="shared" si="7"/>
        <v/>
      </c>
      <c r="J232" s="41" t="str">
        <f t="shared" si="8"/>
        <v/>
      </c>
    </row>
    <row r="233" spans="8:10" x14ac:dyDescent="0.3">
      <c r="H233" s="40" t="str">
        <f t="shared" si="6"/>
        <v/>
      </c>
      <c r="I233" s="40" t="str">
        <f t="shared" si="7"/>
        <v/>
      </c>
      <c r="J233" s="41" t="str">
        <f t="shared" si="8"/>
        <v/>
      </c>
    </row>
    <row r="234" spans="8:10" x14ac:dyDescent="0.3">
      <c r="H234" s="40" t="str">
        <f t="shared" si="6"/>
        <v/>
      </c>
      <c r="I234" s="40" t="str">
        <f t="shared" si="7"/>
        <v/>
      </c>
      <c r="J234" s="41" t="str">
        <f t="shared" si="8"/>
        <v/>
      </c>
    </row>
    <row r="235" spans="8:10" x14ac:dyDescent="0.3">
      <c r="H235" s="40" t="str">
        <f t="shared" si="6"/>
        <v/>
      </c>
      <c r="I235" s="40" t="str">
        <f t="shared" si="7"/>
        <v/>
      </c>
      <c r="J235" s="41" t="str">
        <f t="shared" si="8"/>
        <v/>
      </c>
    </row>
    <row r="236" spans="8:10" x14ac:dyDescent="0.3">
      <c r="H236" s="40" t="str">
        <f t="shared" si="6"/>
        <v/>
      </c>
      <c r="I236" s="40" t="str">
        <f t="shared" si="7"/>
        <v/>
      </c>
      <c r="J236" s="41" t="str">
        <f t="shared" si="8"/>
        <v/>
      </c>
    </row>
    <row r="237" spans="8:10" x14ac:dyDescent="0.3">
      <c r="H237" s="40" t="str">
        <f t="shared" si="6"/>
        <v/>
      </c>
      <c r="I237" s="40" t="str">
        <f t="shared" si="7"/>
        <v/>
      </c>
      <c r="J237" s="41" t="str">
        <f t="shared" si="8"/>
        <v/>
      </c>
    </row>
    <row r="238" spans="8:10" x14ac:dyDescent="0.3">
      <c r="H238" s="40" t="str">
        <f t="shared" si="6"/>
        <v/>
      </c>
      <c r="I238" s="40" t="str">
        <f t="shared" si="7"/>
        <v/>
      </c>
    </row>
    <row r="239" spans="8:10" x14ac:dyDescent="0.3">
      <c r="H239" s="40" t="str">
        <f t="shared" si="6"/>
        <v/>
      </c>
      <c r="I239" s="40" t="str">
        <f t="shared" si="7"/>
        <v/>
      </c>
    </row>
    <row r="240" spans="8:10" x14ac:dyDescent="0.3">
      <c r="H240" s="40" t="str">
        <f t="shared" si="6"/>
        <v/>
      </c>
    </row>
    <row r="241" spans="8:8" x14ac:dyDescent="0.3">
      <c r="H241" s="40" t="str">
        <f t="shared" si="6"/>
        <v/>
      </c>
    </row>
    <row r="242" spans="8:8" x14ac:dyDescent="0.3">
      <c r="H242" s="40" t="str">
        <f t="shared" si="6"/>
        <v/>
      </c>
    </row>
    <row r="243" spans="8:8" x14ac:dyDescent="0.3">
      <c r="H243" s="40" t="str">
        <f t="shared" si="6"/>
        <v/>
      </c>
    </row>
    <row r="244" spans="8:8" x14ac:dyDescent="0.3">
      <c r="H244" s="40" t="str">
        <f t="shared" si="6"/>
        <v/>
      </c>
    </row>
    <row r="245" spans="8:8" x14ac:dyDescent="0.3">
      <c r="H245" s="40" t="str">
        <f t="shared" si="6"/>
        <v/>
      </c>
    </row>
    <row r="246" spans="8:8" x14ac:dyDescent="0.3">
      <c r="H246" s="40" t="str">
        <f t="shared" si="6"/>
        <v/>
      </c>
    </row>
    <row r="247" spans="8:8" x14ac:dyDescent="0.3">
      <c r="H247" s="40" t="str">
        <f t="shared" si="6"/>
        <v/>
      </c>
    </row>
  </sheetData>
  <sheetProtection formatCells="0" selectLockedCells="1" sort="0"/>
  <sortState ref="B6:G601">
    <sortCondition ref="C5"/>
  </sortState>
  <conditionalFormatting sqref="H1:H1048576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{A41153CE-8C29-4A8D-B6D8-D468FC54D6C1}</x14:id>
        </ext>
      </extLst>
    </cfRule>
  </conditionalFormatting>
  <conditionalFormatting sqref="I1:I104857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{FD9A660E-98B7-48E0-97AB-2F48E7F99F49}</x14:id>
        </ext>
      </extLst>
    </cfRule>
  </conditionalFormatting>
  <conditionalFormatting sqref="J1:J1048576">
    <cfRule type="cellIs" dxfId="2" priority="1" operator="equal">
      <formula>"Out Of Stock"</formula>
    </cfRule>
    <cfRule type="cellIs" dxfId="1" priority="2" operator="equal">
      <formula>"Reorder Now"</formula>
    </cfRule>
    <cfRule type="cellIs" dxfId="0" priority="3" operator="equal">
      <formula>"Fine"</formula>
    </cfRule>
    <cfRule type="colorScale" priority="4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1153CE-8C29-4A8D-B6D8-D468FC54D6C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FD9A660E-98B7-48E0-97AB-2F48E7F99F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7"/>
  <sheetViews>
    <sheetView workbookViewId="0">
      <selection activeCell="G30" sqref="G30"/>
    </sheetView>
  </sheetViews>
  <sheetFormatPr defaultRowHeight="14.4" x14ac:dyDescent="0.3"/>
  <sheetData>
    <row r="1" spans="1:5" x14ac:dyDescent="0.3">
      <c r="A1" s="51" t="s">
        <v>191</v>
      </c>
      <c r="B1" s="51" t="s">
        <v>192</v>
      </c>
      <c r="C1" s="51" t="s">
        <v>193</v>
      </c>
      <c r="D1" s="70" t="s">
        <v>194</v>
      </c>
      <c r="E1" s="70" t="s">
        <v>195</v>
      </c>
    </row>
    <row r="2" spans="1:5" x14ac:dyDescent="0.3">
      <c r="A2">
        <v>10001</v>
      </c>
      <c r="B2">
        <v>40001</v>
      </c>
      <c r="C2">
        <v>90000</v>
      </c>
      <c r="D2">
        <f t="shared" ref="D2:D7" si="0">C2*0.8</f>
        <v>72000</v>
      </c>
      <c r="E2">
        <f t="shared" ref="E2:E7" si="1">C2*0.05</f>
        <v>4500</v>
      </c>
    </row>
    <row r="3" spans="1:5" x14ac:dyDescent="0.3">
      <c r="A3">
        <v>10001</v>
      </c>
      <c r="B3">
        <v>40002</v>
      </c>
      <c r="C3">
        <v>100000</v>
      </c>
      <c r="D3">
        <f t="shared" si="0"/>
        <v>80000</v>
      </c>
      <c r="E3">
        <f t="shared" si="1"/>
        <v>5000</v>
      </c>
    </row>
    <row r="4" spans="1:5" x14ac:dyDescent="0.3">
      <c r="A4">
        <v>10001</v>
      </c>
      <c r="B4">
        <v>40003</v>
      </c>
      <c r="C4">
        <v>80000</v>
      </c>
      <c r="D4">
        <f t="shared" si="0"/>
        <v>64000</v>
      </c>
      <c r="E4">
        <f t="shared" si="1"/>
        <v>4000</v>
      </c>
    </row>
    <row r="5" spans="1:5" x14ac:dyDescent="0.3">
      <c r="A5">
        <v>10002</v>
      </c>
      <c r="B5">
        <v>40001</v>
      </c>
      <c r="C5">
        <v>75000</v>
      </c>
      <c r="D5">
        <f t="shared" si="0"/>
        <v>60000</v>
      </c>
      <c r="E5">
        <f t="shared" si="1"/>
        <v>3750</v>
      </c>
    </row>
    <row r="6" spans="1:5" x14ac:dyDescent="0.3">
      <c r="A6">
        <v>10002</v>
      </c>
      <c r="B6">
        <v>40002</v>
      </c>
      <c r="C6">
        <v>65000</v>
      </c>
      <c r="D6">
        <f t="shared" si="0"/>
        <v>52000</v>
      </c>
      <c r="E6">
        <f t="shared" si="1"/>
        <v>3250</v>
      </c>
    </row>
    <row r="7" spans="1:5" x14ac:dyDescent="0.3">
      <c r="A7">
        <v>10002</v>
      </c>
      <c r="B7">
        <v>40003</v>
      </c>
      <c r="C7">
        <v>90000</v>
      </c>
      <c r="D7">
        <f t="shared" si="0"/>
        <v>72000</v>
      </c>
      <c r="E7">
        <f t="shared" si="1"/>
        <v>4500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3"/>
  <sheetViews>
    <sheetView workbookViewId="0">
      <selection activeCell="G19" sqref="G19"/>
    </sheetView>
  </sheetViews>
  <sheetFormatPr defaultRowHeight="14.4" x14ac:dyDescent="0.3"/>
  <sheetData>
    <row r="1" spans="1:3" x14ac:dyDescent="0.3">
      <c r="A1" s="51" t="s">
        <v>196</v>
      </c>
      <c r="B1" s="51" t="s">
        <v>192</v>
      </c>
      <c r="C1" s="51" t="s">
        <v>193</v>
      </c>
    </row>
    <row r="2" spans="1:3" x14ac:dyDescent="0.3">
      <c r="A2">
        <v>20001</v>
      </c>
      <c r="B2">
        <v>40001</v>
      </c>
      <c r="C2">
        <v>35000</v>
      </c>
    </row>
    <row r="3" spans="1:3" x14ac:dyDescent="0.3">
      <c r="A3">
        <v>20001</v>
      </c>
      <c r="B3">
        <v>40002</v>
      </c>
      <c r="C3">
        <v>30000</v>
      </c>
    </row>
    <row r="4" spans="1:3" x14ac:dyDescent="0.3">
      <c r="A4">
        <v>20001</v>
      </c>
      <c r="B4">
        <v>40003</v>
      </c>
      <c r="C4">
        <v>20000</v>
      </c>
    </row>
    <row r="5" spans="1:3" x14ac:dyDescent="0.3">
      <c r="A5">
        <v>20002</v>
      </c>
      <c r="B5">
        <v>40001</v>
      </c>
      <c r="C5">
        <v>20000</v>
      </c>
    </row>
    <row r="6" spans="1:3" x14ac:dyDescent="0.3">
      <c r="A6">
        <v>20002</v>
      </c>
      <c r="B6">
        <v>40002</v>
      </c>
      <c r="C6">
        <v>25000</v>
      </c>
    </row>
    <row r="7" spans="1:3" x14ac:dyDescent="0.3">
      <c r="A7">
        <v>20002</v>
      </c>
      <c r="B7">
        <v>40003</v>
      </c>
      <c r="C7">
        <v>20000</v>
      </c>
    </row>
    <row r="8" spans="1:3" x14ac:dyDescent="0.3">
      <c r="A8">
        <v>20003</v>
      </c>
      <c r="B8">
        <v>40001</v>
      </c>
      <c r="C8">
        <v>30000</v>
      </c>
    </row>
    <row r="9" spans="1:3" x14ac:dyDescent="0.3">
      <c r="A9">
        <v>20003</v>
      </c>
      <c r="B9">
        <v>40002</v>
      </c>
      <c r="C9">
        <v>15000</v>
      </c>
    </row>
    <row r="10" spans="1:3" x14ac:dyDescent="0.3">
      <c r="A10">
        <v>20003</v>
      </c>
      <c r="B10">
        <v>40003</v>
      </c>
      <c r="C10">
        <v>25000</v>
      </c>
    </row>
    <row r="11" spans="1:3" x14ac:dyDescent="0.3">
      <c r="A11">
        <v>20004</v>
      </c>
      <c r="B11">
        <v>40001</v>
      </c>
      <c r="C11">
        <v>15000</v>
      </c>
    </row>
    <row r="12" spans="1:3" x14ac:dyDescent="0.3">
      <c r="A12">
        <v>20004</v>
      </c>
      <c r="B12">
        <v>40002</v>
      </c>
      <c r="C12">
        <v>24000</v>
      </c>
    </row>
    <row r="13" spans="1:3" x14ac:dyDescent="0.3">
      <c r="A13">
        <v>20004</v>
      </c>
      <c r="B13">
        <v>40003</v>
      </c>
      <c r="C13"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6"/>
  <sheetViews>
    <sheetView workbookViewId="0">
      <selection activeCell="K30" sqref="K30"/>
    </sheetView>
  </sheetViews>
  <sheetFormatPr defaultRowHeight="14.4" x14ac:dyDescent="0.3"/>
  <sheetData>
    <row r="1" spans="1:3" x14ac:dyDescent="0.3">
      <c r="A1" s="51" t="s">
        <v>197</v>
      </c>
      <c r="B1" s="51" t="s">
        <v>192</v>
      </c>
      <c r="C1" s="51" t="s">
        <v>198</v>
      </c>
    </row>
    <row r="2" spans="1:3" x14ac:dyDescent="0.3">
      <c r="A2">
        <v>30001</v>
      </c>
      <c r="B2">
        <v>40001</v>
      </c>
      <c r="C2">
        <v>30000</v>
      </c>
    </row>
    <row r="3" spans="1:3" x14ac:dyDescent="0.3">
      <c r="A3">
        <v>30001</v>
      </c>
      <c r="B3">
        <v>40002</v>
      </c>
      <c r="C3">
        <v>20000</v>
      </c>
    </row>
    <row r="4" spans="1:3" x14ac:dyDescent="0.3">
      <c r="A4">
        <v>30001</v>
      </c>
      <c r="B4">
        <v>40003</v>
      </c>
      <c r="C4">
        <v>12500</v>
      </c>
    </row>
    <row r="5" spans="1:3" x14ac:dyDescent="0.3">
      <c r="A5">
        <v>30002</v>
      </c>
      <c r="B5">
        <v>40001</v>
      </c>
      <c r="C5">
        <v>12000</v>
      </c>
    </row>
    <row r="6" spans="1:3" x14ac:dyDescent="0.3">
      <c r="A6">
        <v>30002</v>
      </c>
      <c r="B6">
        <v>40002</v>
      </c>
      <c r="C6">
        <v>18000</v>
      </c>
    </row>
    <row r="7" spans="1:3" x14ac:dyDescent="0.3">
      <c r="A7">
        <v>30002</v>
      </c>
      <c r="B7">
        <v>40003</v>
      </c>
      <c r="C7">
        <v>11000</v>
      </c>
    </row>
    <row r="8" spans="1:3" x14ac:dyDescent="0.3">
      <c r="A8">
        <v>30003</v>
      </c>
      <c r="B8">
        <v>40001</v>
      </c>
      <c r="C8">
        <v>7500</v>
      </c>
    </row>
    <row r="9" spans="1:3" x14ac:dyDescent="0.3">
      <c r="A9">
        <v>30003</v>
      </c>
      <c r="B9">
        <v>40002</v>
      </c>
      <c r="C9">
        <v>11000</v>
      </c>
    </row>
    <row r="10" spans="1:3" x14ac:dyDescent="0.3">
      <c r="A10">
        <v>30003</v>
      </c>
      <c r="B10">
        <v>40003</v>
      </c>
      <c r="C10">
        <v>16000</v>
      </c>
    </row>
    <row r="11" spans="1:3" x14ac:dyDescent="0.3">
      <c r="A11">
        <v>30004</v>
      </c>
      <c r="B11">
        <v>40001</v>
      </c>
      <c r="C11">
        <v>32000</v>
      </c>
    </row>
    <row r="12" spans="1:3" x14ac:dyDescent="0.3">
      <c r="A12">
        <v>30004</v>
      </c>
      <c r="B12">
        <v>40002</v>
      </c>
      <c r="C12">
        <v>12000</v>
      </c>
    </row>
    <row r="13" spans="1:3" x14ac:dyDescent="0.3">
      <c r="A13">
        <v>30004</v>
      </c>
      <c r="B13">
        <v>40003</v>
      </c>
      <c r="C13">
        <v>10000</v>
      </c>
    </row>
    <row r="14" spans="1:3" x14ac:dyDescent="0.3">
      <c r="A14">
        <v>30005</v>
      </c>
      <c r="B14">
        <v>40001</v>
      </c>
      <c r="C14">
        <v>16000</v>
      </c>
    </row>
    <row r="15" spans="1:3" x14ac:dyDescent="0.3">
      <c r="A15">
        <v>30005</v>
      </c>
      <c r="B15">
        <v>40002</v>
      </c>
      <c r="C15">
        <v>18000</v>
      </c>
    </row>
    <row r="16" spans="1:3" x14ac:dyDescent="0.3">
      <c r="A16">
        <v>30005</v>
      </c>
      <c r="B16">
        <v>40003</v>
      </c>
      <c r="C16">
        <v>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5"/>
  <sheetViews>
    <sheetView workbookViewId="0">
      <selection activeCell="E15" sqref="E15"/>
    </sheetView>
  </sheetViews>
  <sheetFormatPr defaultRowHeight="14.4" x14ac:dyDescent="0.3"/>
  <cols>
    <col min="3" max="3" width="15.6640625" customWidth="1"/>
    <col min="4" max="4" width="13.5546875" customWidth="1"/>
    <col min="5" max="5" width="13.44140625" customWidth="1"/>
    <col min="6" max="6" width="27.6640625" customWidth="1"/>
    <col min="7" max="7" width="22.77734375" customWidth="1"/>
    <col min="8" max="8" width="19.88671875" customWidth="1"/>
    <col min="9" max="9" width="20.33203125" customWidth="1"/>
  </cols>
  <sheetData>
    <row r="1" spans="1:10" x14ac:dyDescent="0.3">
      <c r="A1" s="51" t="s">
        <v>192</v>
      </c>
      <c r="B1" s="51" t="s">
        <v>191</v>
      </c>
      <c r="C1" s="51" t="s">
        <v>196</v>
      </c>
      <c r="D1" s="51" t="s">
        <v>199</v>
      </c>
      <c r="E1" s="51" t="s">
        <v>200</v>
      </c>
      <c r="F1" s="51" t="s">
        <v>201</v>
      </c>
      <c r="G1" s="51" t="s">
        <v>202</v>
      </c>
      <c r="H1" s="51" t="s">
        <v>203</v>
      </c>
      <c r="I1" s="51" t="s">
        <v>204</v>
      </c>
      <c r="J1" s="51" t="s">
        <v>205</v>
      </c>
    </row>
    <row r="2" spans="1:10" x14ac:dyDescent="0.3">
      <c r="A2">
        <v>40001</v>
      </c>
      <c r="B2">
        <v>10001</v>
      </c>
      <c r="C2">
        <v>20001</v>
      </c>
      <c r="D2">
        <v>32500</v>
      </c>
      <c r="E2">
        <f>VLOOKUP(B:B,[1]Plant!A:H,7,FALSE)</f>
        <v>47.593303900000002</v>
      </c>
      <c r="F2">
        <f>VLOOKUP(B:B,[1]Plant!A:H,8,FALSE)</f>
        <v>-122.33216539999999</v>
      </c>
      <c r="G2">
        <f>VLOOKUP(C:C,[1]DC!A:H,7,FALSE)</f>
        <v>34.081569600000002</v>
      </c>
      <c r="H2">
        <f>VLOOKUP(C:C,[1]DC!A:H,8,FALSE)</f>
        <v>-118.3892793</v>
      </c>
      <c r="I2">
        <f>ACOS(COS(RADIANS(90-E2)) *COS(RADIANS(90-G2)) +SIN(RADIANS(90-E2)) *SIN(RADIANS(90-G2)) *COS(RADIANS(F2-H2))) *6371</f>
        <v>1538.0713716007269</v>
      </c>
      <c r="J2" s="6">
        <v>0.5</v>
      </c>
    </row>
    <row r="3" spans="1:10" x14ac:dyDescent="0.3">
      <c r="A3">
        <v>40001</v>
      </c>
      <c r="B3">
        <v>10001</v>
      </c>
      <c r="C3">
        <v>20002</v>
      </c>
      <c r="D3">
        <v>0</v>
      </c>
      <c r="E3">
        <f>VLOOKUP(B:B,[1]Plant!A:H,7,FALSE)</f>
        <v>47.593303900000002</v>
      </c>
      <c r="F3">
        <f>VLOOKUP(B:B,[1]Plant!A:H,8,FALSE)</f>
        <v>-122.33216539999999</v>
      </c>
      <c r="G3">
        <f>VLOOKUP(C:C,[1]DC!A:H,7,FALSE)</f>
        <v>32.777856</v>
      </c>
      <c r="H3">
        <f>VLOOKUP(C:C,[1]DC!A:H,8,FALSE)</f>
        <v>-96.760088100000004</v>
      </c>
      <c r="I3">
        <f t="shared" ref="I3:I25" si="0">ACOS(COS(RADIANS(90-E3)) *COS(RADIANS(90-G3)) +SIN(RADIANS(90-E3)) *SIN(RADIANS(90-G3)) *COS(RADIANS(F3-H3))) *6371</f>
        <v>2704.9980168871411</v>
      </c>
      <c r="J3" s="6">
        <v>0.5</v>
      </c>
    </row>
    <row r="4" spans="1:10" x14ac:dyDescent="0.3">
      <c r="A4">
        <v>40001</v>
      </c>
      <c r="B4">
        <v>10001</v>
      </c>
      <c r="C4">
        <v>20003</v>
      </c>
      <c r="D4">
        <v>0</v>
      </c>
      <c r="E4">
        <f>VLOOKUP(B:B,[1]Plant!A:H,7,FALSE)</f>
        <v>47.593303900000002</v>
      </c>
      <c r="F4">
        <f>VLOOKUP(B:B,[1]Plant!A:H,8,FALSE)</f>
        <v>-122.33216539999999</v>
      </c>
      <c r="G4">
        <f>VLOOKUP(C:C,[1]DC!A:H,7,FALSE)</f>
        <v>39.077025300000003</v>
      </c>
      <c r="H4">
        <f>VLOOKUP(C:C,[1]DC!A:H,8,FALSE)</f>
        <v>-94.586092199999996</v>
      </c>
      <c r="I4">
        <f t="shared" si="0"/>
        <v>2419.0250676595042</v>
      </c>
      <c r="J4" s="6">
        <v>1</v>
      </c>
    </row>
    <row r="5" spans="1:10" x14ac:dyDescent="0.3">
      <c r="A5">
        <v>40001</v>
      </c>
      <c r="B5">
        <v>10001</v>
      </c>
      <c r="C5">
        <v>20004</v>
      </c>
      <c r="D5">
        <v>15000</v>
      </c>
      <c r="E5">
        <f>VLOOKUP(B:B,[1]Plant!A:H,7,FALSE)</f>
        <v>47.593303900000002</v>
      </c>
      <c r="F5">
        <f>VLOOKUP(B:B,[1]Plant!A:H,8,FALSE)</f>
        <v>-122.33216539999999</v>
      </c>
      <c r="G5">
        <f>VLOOKUP(C:C,[1]DC!A:H,7,FALSE)</f>
        <v>39.773898099999997</v>
      </c>
      <c r="H5">
        <f>VLOOKUP(C:C,[1]DC!A:H,8,FALSE)</f>
        <v>-86.176306199999999</v>
      </c>
      <c r="I5">
        <f t="shared" si="0"/>
        <v>3004.0167248452994</v>
      </c>
      <c r="J5" s="6">
        <v>0.2</v>
      </c>
    </row>
    <row r="6" spans="1:10" x14ac:dyDescent="0.3">
      <c r="A6">
        <v>40001</v>
      </c>
      <c r="B6">
        <v>10002</v>
      </c>
      <c r="C6">
        <v>20001</v>
      </c>
      <c r="D6">
        <v>0</v>
      </c>
      <c r="E6">
        <f>VLOOKUP(B:B,[1]Plant!A:H,7,FALSE)</f>
        <v>39.7403476</v>
      </c>
      <c r="F6">
        <f>VLOOKUP(B:B,[1]Plant!A:H,8,FALSE)</f>
        <v>-104.97533110000001</v>
      </c>
      <c r="G6">
        <f>VLOOKUP(C:C,[1]DC!A:H,7,FALSE)</f>
        <v>34.081569600000002</v>
      </c>
      <c r="H6">
        <f>VLOOKUP(C:C,[1]DC!A:H,8,FALSE)</f>
        <v>-118.3892793</v>
      </c>
      <c r="I6">
        <f t="shared" si="0"/>
        <v>1346.3939935321644</v>
      </c>
      <c r="J6" s="6">
        <v>1.5</v>
      </c>
    </row>
    <row r="7" spans="1:10" x14ac:dyDescent="0.3">
      <c r="A7">
        <v>40001</v>
      </c>
      <c r="B7">
        <v>10002</v>
      </c>
      <c r="C7">
        <v>20002</v>
      </c>
      <c r="D7">
        <v>20000</v>
      </c>
      <c r="E7">
        <f>VLOOKUP(B:B,[1]Plant!A:H,7,FALSE)</f>
        <v>39.7403476</v>
      </c>
      <c r="F7">
        <f>VLOOKUP(B:B,[1]Plant!A:H,8,FALSE)</f>
        <v>-104.97533110000001</v>
      </c>
      <c r="G7">
        <f>VLOOKUP(C:C,[1]DC!A:H,7,FALSE)</f>
        <v>32.777856</v>
      </c>
      <c r="H7">
        <f>VLOOKUP(C:C,[1]DC!A:H,8,FALSE)</f>
        <v>-96.760088100000004</v>
      </c>
      <c r="I7">
        <f t="shared" si="0"/>
        <v>1067.6502226597056</v>
      </c>
      <c r="J7" s="6">
        <v>0.3</v>
      </c>
    </row>
    <row r="8" spans="1:10" x14ac:dyDescent="0.3">
      <c r="A8">
        <v>40001</v>
      </c>
      <c r="B8">
        <v>10002</v>
      </c>
      <c r="C8">
        <v>20003</v>
      </c>
      <c r="D8">
        <v>30000</v>
      </c>
      <c r="E8">
        <f>VLOOKUP(B:B,[1]Plant!A:H,7,FALSE)</f>
        <v>39.7403476</v>
      </c>
      <c r="F8">
        <f>VLOOKUP(B:B,[1]Plant!A:H,8,FALSE)</f>
        <v>-104.97533110000001</v>
      </c>
      <c r="G8">
        <f>VLOOKUP(C:C,[1]DC!A:H,7,FALSE)</f>
        <v>39.077025300000003</v>
      </c>
      <c r="H8">
        <f>VLOOKUP(C:C,[1]DC!A:H,8,FALSE)</f>
        <v>-94.586092199999996</v>
      </c>
      <c r="I8">
        <f t="shared" si="0"/>
        <v>895.10958378516978</v>
      </c>
      <c r="J8" s="6">
        <v>0.5</v>
      </c>
    </row>
    <row r="9" spans="1:10" x14ac:dyDescent="0.3">
      <c r="A9">
        <v>40001</v>
      </c>
      <c r="B9">
        <v>10002</v>
      </c>
      <c r="C9">
        <v>20004</v>
      </c>
      <c r="D9">
        <v>0</v>
      </c>
      <c r="E9">
        <f>VLOOKUP(B:B,[1]Plant!A:H,7,FALSE)</f>
        <v>39.7403476</v>
      </c>
      <c r="F9">
        <f>VLOOKUP(B:B,[1]Plant!A:H,8,FALSE)</f>
        <v>-104.97533110000001</v>
      </c>
      <c r="G9">
        <f>VLOOKUP(C:C,[1]DC!A:H,7,FALSE)</f>
        <v>39.773898099999997</v>
      </c>
      <c r="H9">
        <f>VLOOKUP(C:C,[1]DC!A:H,8,FALSE)</f>
        <v>-86.176306199999999</v>
      </c>
      <c r="I9">
        <f t="shared" si="0"/>
        <v>1604.025986847563</v>
      </c>
      <c r="J9" s="6">
        <v>0.2</v>
      </c>
    </row>
    <row r="10" spans="1:10" x14ac:dyDescent="0.3">
      <c r="A10">
        <v>40002</v>
      </c>
      <c r="B10">
        <v>10001</v>
      </c>
      <c r="C10">
        <v>20001</v>
      </c>
      <c r="D10">
        <v>15000</v>
      </c>
      <c r="E10">
        <f>VLOOKUP(B:B,[1]Plant!A:H,7,FALSE)</f>
        <v>47.593303900000002</v>
      </c>
      <c r="F10">
        <f>VLOOKUP(B:B,[1]Plant!A:H,8,FALSE)</f>
        <v>-122.33216539999999</v>
      </c>
      <c r="G10">
        <f>VLOOKUP(C:C,[1]DC!A:H,7,FALSE)</f>
        <v>34.081569600000002</v>
      </c>
      <c r="H10">
        <f>VLOOKUP(C:C,[1]DC!A:H,8,FALSE)</f>
        <v>-118.3892793</v>
      </c>
      <c r="I10">
        <f t="shared" si="0"/>
        <v>1538.0713716007269</v>
      </c>
      <c r="J10" s="6">
        <v>1</v>
      </c>
    </row>
    <row r="11" spans="1:10" x14ac:dyDescent="0.3">
      <c r="A11">
        <v>40002</v>
      </c>
      <c r="B11">
        <v>10001</v>
      </c>
      <c r="C11">
        <v>20002</v>
      </c>
      <c r="D11">
        <v>25000</v>
      </c>
      <c r="E11">
        <f>VLOOKUP(B:B,[1]Plant!A:H,7,FALSE)</f>
        <v>47.593303900000002</v>
      </c>
      <c r="F11">
        <f>VLOOKUP(B:B,[1]Plant!A:H,8,FALSE)</f>
        <v>-122.33216539999999</v>
      </c>
      <c r="G11">
        <f>VLOOKUP(C:C,[1]DC!A:H,7,FALSE)</f>
        <v>32.777856</v>
      </c>
      <c r="H11">
        <f>VLOOKUP(C:C,[1]DC!A:H,8,FALSE)</f>
        <v>-96.760088100000004</v>
      </c>
      <c r="I11">
        <f t="shared" si="0"/>
        <v>2704.9980168871411</v>
      </c>
      <c r="J11" s="6">
        <v>0.75</v>
      </c>
    </row>
    <row r="12" spans="1:10" x14ac:dyDescent="0.3">
      <c r="A12">
        <v>40002</v>
      </c>
      <c r="B12">
        <v>10001</v>
      </c>
      <c r="C12">
        <v>20003</v>
      </c>
      <c r="D12">
        <v>0</v>
      </c>
      <c r="E12">
        <f>VLOOKUP(B:B,[1]Plant!A:H,7,FALSE)</f>
        <v>47.593303900000002</v>
      </c>
      <c r="F12">
        <f>VLOOKUP(B:B,[1]Plant!A:H,8,FALSE)</f>
        <v>-122.33216539999999</v>
      </c>
      <c r="G12">
        <f>VLOOKUP(C:C,[1]DC!A:H,7,FALSE)</f>
        <v>39.077025300000003</v>
      </c>
      <c r="H12">
        <f>VLOOKUP(C:C,[1]DC!A:H,8,FALSE)</f>
        <v>-94.586092199999996</v>
      </c>
      <c r="I12">
        <f t="shared" si="0"/>
        <v>2419.0250676595042</v>
      </c>
      <c r="J12" s="6">
        <v>1.25</v>
      </c>
    </row>
    <row r="13" spans="1:10" x14ac:dyDescent="0.3">
      <c r="A13">
        <v>40002</v>
      </c>
      <c r="B13">
        <v>10001</v>
      </c>
      <c r="C13">
        <v>20004</v>
      </c>
      <c r="D13">
        <v>0</v>
      </c>
      <c r="E13">
        <f>VLOOKUP(B:B,[1]Plant!A:H,7,FALSE)</f>
        <v>47.593303900000002</v>
      </c>
      <c r="F13">
        <f>VLOOKUP(B:B,[1]Plant!A:H,8,FALSE)</f>
        <v>-122.33216539999999</v>
      </c>
      <c r="G13">
        <f>VLOOKUP(C:C,[1]DC!A:H,7,FALSE)</f>
        <v>39.773898099999997</v>
      </c>
      <c r="H13">
        <f>VLOOKUP(C:C,[1]DC!A:H,8,FALSE)</f>
        <v>-86.176306199999999</v>
      </c>
      <c r="I13">
        <f t="shared" si="0"/>
        <v>3004.0167248452994</v>
      </c>
      <c r="J13" s="6">
        <v>1.25</v>
      </c>
    </row>
    <row r="14" spans="1:10" x14ac:dyDescent="0.3">
      <c r="A14">
        <v>40002</v>
      </c>
      <c r="B14">
        <v>10002</v>
      </c>
      <c r="C14">
        <v>20001</v>
      </c>
      <c r="D14">
        <v>0</v>
      </c>
      <c r="E14">
        <f>VLOOKUP(B:B,[1]Plant!A:H,7,FALSE)</f>
        <v>39.7403476</v>
      </c>
      <c r="F14">
        <f>VLOOKUP(B:B,[1]Plant!A:H,8,FALSE)</f>
        <v>-104.97533110000001</v>
      </c>
      <c r="G14">
        <f>VLOOKUP(C:C,[1]DC!A:H,7,FALSE)</f>
        <v>34.081569600000002</v>
      </c>
      <c r="H14">
        <f>VLOOKUP(C:C,[1]DC!A:H,8,FALSE)</f>
        <v>-118.3892793</v>
      </c>
      <c r="I14">
        <f t="shared" si="0"/>
        <v>1346.3939935321644</v>
      </c>
      <c r="J14" s="6">
        <v>1.25</v>
      </c>
    </row>
    <row r="15" spans="1:10" x14ac:dyDescent="0.3">
      <c r="A15">
        <v>40002</v>
      </c>
      <c r="B15">
        <v>10002</v>
      </c>
      <c r="C15">
        <v>20002</v>
      </c>
      <c r="D15">
        <v>0</v>
      </c>
      <c r="E15">
        <f>VLOOKUP(B:B,[1]Plant!A:H,7,FALSE)</f>
        <v>39.7403476</v>
      </c>
      <c r="F15">
        <f>VLOOKUP(B:B,[1]Plant!A:H,8,FALSE)</f>
        <v>-104.97533110000001</v>
      </c>
      <c r="G15">
        <f>VLOOKUP(C:C,[1]DC!A:H,7,FALSE)</f>
        <v>32.777856</v>
      </c>
      <c r="H15">
        <f>VLOOKUP(C:C,[1]DC!A:H,8,FALSE)</f>
        <v>-96.760088100000004</v>
      </c>
      <c r="I15">
        <f t="shared" si="0"/>
        <v>1067.6502226597056</v>
      </c>
      <c r="J15" s="6">
        <v>0.8</v>
      </c>
    </row>
    <row r="16" spans="1:10" x14ac:dyDescent="0.3">
      <c r="A16">
        <v>40002</v>
      </c>
      <c r="B16">
        <v>10002</v>
      </c>
      <c r="C16">
        <v>20003</v>
      </c>
      <c r="D16">
        <v>15000</v>
      </c>
      <c r="E16">
        <f>VLOOKUP(B:B,[1]Plant!A:H,7,FALSE)</f>
        <v>39.7403476</v>
      </c>
      <c r="F16">
        <f>VLOOKUP(B:B,[1]Plant!A:H,8,FALSE)</f>
        <v>-104.97533110000001</v>
      </c>
      <c r="G16">
        <f>VLOOKUP(C:C,[1]DC!A:H,7,FALSE)</f>
        <v>39.077025300000003</v>
      </c>
      <c r="H16">
        <f>VLOOKUP(C:C,[1]DC!A:H,8,FALSE)</f>
        <v>-94.586092199999996</v>
      </c>
      <c r="I16">
        <f t="shared" si="0"/>
        <v>895.10958378516978</v>
      </c>
      <c r="J16" s="6">
        <v>1</v>
      </c>
    </row>
    <row r="17" spans="1:10" x14ac:dyDescent="0.3">
      <c r="A17">
        <v>40002</v>
      </c>
      <c r="B17">
        <v>10002</v>
      </c>
      <c r="C17">
        <v>20004</v>
      </c>
      <c r="D17">
        <v>24000</v>
      </c>
      <c r="E17">
        <f>VLOOKUP(B:B,[1]Plant!A:H,7,FALSE)</f>
        <v>39.7403476</v>
      </c>
      <c r="F17">
        <f>VLOOKUP(B:B,[1]Plant!A:H,8,FALSE)</f>
        <v>-104.97533110000001</v>
      </c>
      <c r="G17">
        <f>VLOOKUP(C:C,[1]DC!A:H,7,FALSE)</f>
        <v>39.773898099999997</v>
      </c>
      <c r="H17">
        <f>VLOOKUP(C:C,[1]DC!A:H,8,FALSE)</f>
        <v>-86.176306199999999</v>
      </c>
      <c r="I17">
        <f t="shared" si="0"/>
        <v>1604.025986847563</v>
      </c>
      <c r="J17" s="6">
        <v>0.75</v>
      </c>
    </row>
    <row r="18" spans="1:10" x14ac:dyDescent="0.3">
      <c r="A18">
        <v>40003</v>
      </c>
      <c r="B18">
        <v>10001</v>
      </c>
      <c r="C18">
        <v>20001</v>
      </c>
      <c r="D18">
        <v>20000</v>
      </c>
      <c r="E18">
        <f>VLOOKUP(B:B,[1]Plant!A:H,7,FALSE)</f>
        <v>47.593303900000002</v>
      </c>
      <c r="F18">
        <f>VLOOKUP(B:B,[1]Plant!A:H,8,FALSE)</f>
        <v>-122.33216539999999</v>
      </c>
      <c r="G18">
        <f>VLOOKUP(C:C,[1]DC!A:H,7,FALSE)</f>
        <v>34.081569600000002</v>
      </c>
      <c r="H18">
        <f>VLOOKUP(C:C,[1]DC!A:H,8,FALSE)</f>
        <v>-118.3892793</v>
      </c>
      <c r="I18">
        <f t="shared" si="0"/>
        <v>1538.0713716007269</v>
      </c>
      <c r="J18" s="6">
        <v>0.75</v>
      </c>
    </row>
    <row r="19" spans="1:10" x14ac:dyDescent="0.3">
      <c r="A19">
        <v>40003</v>
      </c>
      <c r="B19">
        <v>10001</v>
      </c>
      <c r="C19">
        <v>20002</v>
      </c>
      <c r="D19">
        <v>0</v>
      </c>
      <c r="E19">
        <f>VLOOKUP(B:B,[1]Plant!A:H,7,FALSE)</f>
        <v>47.593303900000002</v>
      </c>
      <c r="F19">
        <f>VLOOKUP(B:B,[1]Plant!A:H,8,FALSE)</f>
        <v>-122.33216539999999</v>
      </c>
      <c r="G19">
        <f>VLOOKUP(C:C,[1]DC!A:H,7,FALSE)</f>
        <v>32.777856</v>
      </c>
      <c r="H19">
        <f>VLOOKUP(C:C,[1]DC!A:H,8,FALSE)</f>
        <v>-96.760088100000004</v>
      </c>
      <c r="I19">
        <f t="shared" si="0"/>
        <v>2704.9980168871411</v>
      </c>
      <c r="J19" s="6">
        <v>1.25</v>
      </c>
    </row>
    <row r="20" spans="1:10" x14ac:dyDescent="0.3">
      <c r="A20">
        <v>40003</v>
      </c>
      <c r="B20">
        <v>10001</v>
      </c>
      <c r="C20">
        <v>20003</v>
      </c>
      <c r="D20">
        <v>0</v>
      </c>
      <c r="E20">
        <f>VLOOKUP(B:B,[1]Plant!A:H,7,FALSE)</f>
        <v>47.593303900000002</v>
      </c>
      <c r="F20">
        <f>VLOOKUP(B:B,[1]Plant!A:H,8,FALSE)</f>
        <v>-122.33216539999999</v>
      </c>
      <c r="G20">
        <f>VLOOKUP(C:C,[1]DC!A:H,7,FALSE)</f>
        <v>39.077025300000003</v>
      </c>
      <c r="H20">
        <f>VLOOKUP(C:C,[1]DC!A:H,8,FALSE)</f>
        <v>-94.586092199999996</v>
      </c>
      <c r="I20">
        <f t="shared" si="0"/>
        <v>2419.0250676595042</v>
      </c>
      <c r="J20" s="6">
        <v>1</v>
      </c>
    </row>
    <row r="21" spans="1:10" x14ac:dyDescent="0.3">
      <c r="A21">
        <v>40003</v>
      </c>
      <c r="B21">
        <v>10001</v>
      </c>
      <c r="C21">
        <v>20004</v>
      </c>
      <c r="D21">
        <v>20000</v>
      </c>
      <c r="E21">
        <f>VLOOKUP(B:B,[1]Plant!A:H,7,FALSE)</f>
        <v>47.593303900000002</v>
      </c>
      <c r="F21">
        <f>VLOOKUP(B:B,[1]Plant!A:H,8,FALSE)</f>
        <v>-122.33216539999999</v>
      </c>
      <c r="G21">
        <f>VLOOKUP(C:C,[1]DC!A:H,7,FALSE)</f>
        <v>39.773898099999997</v>
      </c>
      <c r="H21">
        <f>VLOOKUP(C:C,[1]DC!A:H,8,FALSE)</f>
        <v>-86.176306199999999</v>
      </c>
      <c r="I21">
        <f t="shared" si="0"/>
        <v>3004.0167248452994</v>
      </c>
      <c r="J21" s="6">
        <v>0.8</v>
      </c>
    </row>
    <row r="22" spans="1:10" x14ac:dyDescent="0.3">
      <c r="A22">
        <v>40003</v>
      </c>
      <c r="B22">
        <v>10002</v>
      </c>
      <c r="C22">
        <v>20001</v>
      </c>
      <c r="D22">
        <v>0</v>
      </c>
      <c r="E22">
        <f>VLOOKUP(B:B,[1]Plant!A:H,7,FALSE)</f>
        <v>39.7403476</v>
      </c>
      <c r="F22">
        <f>VLOOKUP(B:B,[1]Plant!A:H,8,FALSE)</f>
        <v>-104.97533110000001</v>
      </c>
      <c r="G22">
        <f>VLOOKUP(C:C,[1]DC!A:H,7,FALSE)</f>
        <v>34.081569600000002</v>
      </c>
      <c r="H22">
        <f>VLOOKUP(C:C,[1]DC!A:H,8,FALSE)</f>
        <v>-118.3892793</v>
      </c>
      <c r="I22">
        <f t="shared" si="0"/>
        <v>1346.3939935321644</v>
      </c>
      <c r="J22" s="6">
        <v>1.4</v>
      </c>
    </row>
    <row r="23" spans="1:10" x14ac:dyDescent="0.3">
      <c r="A23">
        <v>40003</v>
      </c>
      <c r="B23">
        <v>10002</v>
      </c>
      <c r="C23">
        <v>20002</v>
      </c>
      <c r="D23">
        <v>20000</v>
      </c>
      <c r="E23">
        <f>VLOOKUP(B:B,[1]Plant!A:H,7,FALSE)</f>
        <v>39.7403476</v>
      </c>
      <c r="F23">
        <f>VLOOKUP(B:B,[1]Plant!A:H,8,FALSE)</f>
        <v>-104.97533110000001</v>
      </c>
      <c r="G23">
        <f>VLOOKUP(C:C,[1]DC!A:H,7,FALSE)</f>
        <v>32.777856</v>
      </c>
      <c r="H23">
        <f>VLOOKUP(C:C,[1]DC!A:H,8,FALSE)</f>
        <v>-96.760088100000004</v>
      </c>
      <c r="I23">
        <f t="shared" si="0"/>
        <v>1067.6502226597056</v>
      </c>
      <c r="J23" s="6">
        <v>0.9</v>
      </c>
    </row>
    <row r="24" spans="1:10" x14ac:dyDescent="0.3">
      <c r="A24">
        <v>40003</v>
      </c>
      <c r="B24">
        <v>10002</v>
      </c>
      <c r="C24">
        <v>20003</v>
      </c>
      <c r="D24">
        <v>14500</v>
      </c>
      <c r="E24">
        <f>VLOOKUP(B:B,[1]Plant!A:H,7,FALSE)</f>
        <v>39.7403476</v>
      </c>
      <c r="F24">
        <f>VLOOKUP(B:B,[1]Plant!A:H,8,FALSE)</f>
        <v>-104.97533110000001</v>
      </c>
      <c r="G24">
        <f>VLOOKUP(C:C,[1]DC!A:H,7,FALSE)</f>
        <v>39.077025300000003</v>
      </c>
      <c r="H24">
        <f>VLOOKUP(C:C,[1]DC!A:H,8,FALSE)</f>
        <v>-94.586092199999996</v>
      </c>
      <c r="I24">
        <f t="shared" si="0"/>
        <v>895.10958378516978</v>
      </c>
      <c r="J24" s="6">
        <v>0.95</v>
      </c>
    </row>
    <row r="25" spans="1:10" x14ac:dyDescent="0.3">
      <c r="A25">
        <v>40003</v>
      </c>
      <c r="B25">
        <v>10002</v>
      </c>
      <c r="C25">
        <v>20004</v>
      </c>
      <c r="D25">
        <v>0</v>
      </c>
      <c r="E25">
        <f>VLOOKUP(B:B,[1]Plant!A:H,7,FALSE)</f>
        <v>39.7403476</v>
      </c>
      <c r="F25">
        <f>VLOOKUP(B:B,[1]Plant!A:H,8,FALSE)</f>
        <v>-104.97533110000001</v>
      </c>
      <c r="G25">
        <f>VLOOKUP(C:C,[1]DC!A:H,7,FALSE)</f>
        <v>39.773898099999997</v>
      </c>
      <c r="H25">
        <f>VLOOKUP(C:C,[1]DC!A:H,8,FALSE)</f>
        <v>-86.176306199999999</v>
      </c>
      <c r="I25">
        <f t="shared" si="0"/>
        <v>1604.025986847563</v>
      </c>
      <c r="J25" s="6">
        <v>1.1000000000000001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6" sqref="A6"/>
      <selection pane="bottomRight" activeCell="E18" sqref="E18"/>
    </sheetView>
  </sheetViews>
  <sheetFormatPr defaultRowHeight="14.4" x14ac:dyDescent="0.3"/>
  <cols>
    <col min="1" max="1" width="8.44140625" customWidth="1"/>
    <col min="2" max="2" width="9.5546875" customWidth="1"/>
    <col min="3" max="3" width="25" style="4" customWidth="1"/>
    <col min="4" max="4" width="30.44140625" style="4" customWidth="1"/>
    <col min="5" max="5" width="20.44140625" style="4" bestFit="1" customWidth="1"/>
    <col min="6" max="6" width="10.109375" style="4" customWidth="1"/>
    <col min="7" max="7" width="11.44140625" style="4" customWidth="1"/>
    <col min="8" max="8" width="17.109375" style="4" customWidth="1"/>
    <col min="9" max="9" width="16.109375" style="4" customWidth="1"/>
    <col min="10" max="10" width="36.6640625" style="4" customWidth="1"/>
    <col min="11" max="11" width="16.109375" style="4" customWidth="1"/>
    <col min="12" max="12" width="44.88671875" customWidth="1"/>
  </cols>
  <sheetData>
    <row r="1" spans="1:15" ht="40.950000000000003" customHeight="1" x14ac:dyDescent="0.3">
      <c r="A1" s="4"/>
      <c r="C1"/>
      <c r="D1"/>
      <c r="E1"/>
      <c r="F1"/>
      <c r="G1"/>
      <c r="H1"/>
      <c r="I1"/>
      <c r="J1"/>
      <c r="K1"/>
    </row>
    <row r="2" spans="1:15" x14ac:dyDescent="0.3">
      <c r="C2"/>
      <c r="D2"/>
      <c r="E2"/>
      <c r="F2"/>
      <c r="G2"/>
      <c r="H2"/>
      <c r="I2"/>
      <c r="J2"/>
      <c r="K2"/>
    </row>
    <row r="3" spans="1:15" x14ac:dyDescent="0.3">
      <c r="C3"/>
      <c r="D3"/>
      <c r="E3"/>
      <c r="F3"/>
      <c r="G3"/>
      <c r="H3"/>
      <c r="I3"/>
      <c r="J3"/>
      <c r="K3"/>
    </row>
    <row r="4" spans="1:15" ht="28.8" customHeight="1" x14ac:dyDescent="0.3">
      <c r="C4"/>
      <c r="D4"/>
      <c r="E4"/>
      <c r="F4"/>
      <c r="G4"/>
      <c r="H4"/>
      <c r="I4"/>
      <c r="J4"/>
      <c r="K4"/>
    </row>
    <row r="5" spans="1:15" x14ac:dyDescent="0.3">
      <c r="B5" s="69" t="s">
        <v>224</v>
      </c>
      <c r="C5" s="69" t="s">
        <v>183</v>
      </c>
      <c r="D5" s="69" t="s">
        <v>19</v>
      </c>
      <c r="E5" s="69" t="s">
        <v>20</v>
      </c>
      <c r="F5" s="69" t="s">
        <v>15</v>
      </c>
      <c r="G5" s="69" t="s">
        <v>184</v>
      </c>
      <c r="H5" s="69" t="s">
        <v>223</v>
      </c>
      <c r="I5" s="69" t="s">
        <v>222</v>
      </c>
      <c r="N5" t="s">
        <v>66</v>
      </c>
      <c r="O5" s="3" t="s">
        <v>69</v>
      </c>
    </row>
    <row r="6" spans="1:15" x14ac:dyDescent="0.3">
      <c r="B6">
        <v>30001</v>
      </c>
      <c r="C6" t="s">
        <v>63</v>
      </c>
      <c r="D6" t="s">
        <v>221</v>
      </c>
      <c r="E6" t="s">
        <v>220</v>
      </c>
      <c r="F6" t="s">
        <v>219</v>
      </c>
      <c r="G6">
        <v>35801</v>
      </c>
      <c r="H6">
        <v>34.726982700000001</v>
      </c>
      <c r="I6">
        <v>-86.590785600000004</v>
      </c>
      <c r="N6" t="s">
        <v>66</v>
      </c>
      <c r="O6" s="3" t="s">
        <v>70</v>
      </c>
    </row>
    <row r="7" spans="1:15" x14ac:dyDescent="0.3">
      <c r="B7">
        <v>30002</v>
      </c>
      <c r="C7" t="s">
        <v>64</v>
      </c>
      <c r="D7" t="s">
        <v>218</v>
      </c>
      <c r="E7" t="s">
        <v>217</v>
      </c>
      <c r="F7" t="s">
        <v>216</v>
      </c>
      <c r="G7">
        <v>17033</v>
      </c>
      <c r="H7">
        <v>40.285252300000003</v>
      </c>
      <c r="I7">
        <v>-76.652129900000006</v>
      </c>
      <c r="N7" t="s">
        <v>66</v>
      </c>
      <c r="O7" s="3" t="s">
        <v>71</v>
      </c>
    </row>
    <row r="8" spans="1:15" x14ac:dyDescent="0.3">
      <c r="B8">
        <v>30003</v>
      </c>
      <c r="C8" t="s">
        <v>175</v>
      </c>
      <c r="D8" t="s">
        <v>215</v>
      </c>
      <c r="E8" t="s">
        <v>214</v>
      </c>
      <c r="F8" t="s">
        <v>213</v>
      </c>
      <c r="G8">
        <v>23460</v>
      </c>
      <c r="H8">
        <v>36.814034599999999</v>
      </c>
      <c r="I8">
        <v>-76.026842200000004</v>
      </c>
      <c r="N8" t="s">
        <v>66</v>
      </c>
      <c r="O8" s="3" t="s">
        <v>72</v>
      </c>
    </row>
    <row r="9" spans="1:15" x14ac:dyDescent="0.3">
      <c r="B9">
        <v>30004</v>
      </c>
      <c r="C9" t="s">
        <v>176</v>
      </c>
      <c r="D9" t="s">
        <v>212</v>
      </c>
      <c r="E9" t="s">
        <v>211</v>
      </c>
      <c r="F9" t="s">
        <v>210</v>
      </c>
      <c r="G9">
        <v>32413</v>
      </c>
      <c r="H9">
        <v>30.2213961</v>
      </c>
      <c r="I9">
        <v>-85.871700599999997</v>
      </c>
      <c r="N9" t="s">
        <v>66</v>
      </c>
      <c r="O9" s="3" t="s">
        <v>73</v>
      </c>
    </row>
    <row r="10" spans="1:15" x14ac:dyDescent="0.3">
      <c r="B10">
        <v>30005</v>
      </c>
      <c r="C10" t="s">
        <v>81</v>
      </c>
      <c r="D10" t="s">
        <v>209</v>
      </c>
      <c r="E10" t="s">
        <v>208</v>
      </c>
      <c r="F10" t="s">
        <v>207</v>
      </c>
      <c r="G10">
        <v>54303</v>
      </c>
      <c r="H10">
        <v>44.519666100000002</v>
      </c>
      <c r="I10">
        <v>-88.020217900000006</v>
      </c>
      <c r="N10" t="s">
        <v>66</v>
      </c>
      <c r="O10" s="3" t="s">
        <v>74</v>
      </c>
    </row>
    <row r="11" spans="1:15" x14ac:dyDescent="0.3">
      <c r="C11"/>
      <c r="D11"/>
      <c r="E11"/>
      <c r="F11"/>
      <c r="G11"/>
      <c r="H11"/>
      <c r="I11"/>
      <c r="N11" t="s">
        <v>66</v>
      </c>
      <c r="O11" s="3" t="s">
        <v>75</v>
      </c>
    </row>
    <row r="12" spans="1:15" x14ac:dyDescent="0.3">
      <c r="N12" t="s">
        <v>67</v>
      </c>
      <c r="O12" s="3" t="s">
        <v>76</v>
      </c>
    </row>
    <row r="13" spans="1:15" x14ac:dyDescent="0.3">
      <c r="N13" t="s">
        <v>67</v>
      </c>
      <c r="O13" s="3" t="s">
        <v>77</v>
      </c>
    </row>
    <row r="14" spans="1:15" x14ac:dyDescent="0.3">
      <c r="N14" t="s">
        <v>67</v>
      </c>
      <c r="O14" s="3" t="s">
        <v>76</v>
      </c>
    </row>
    <row r="15" spans="1:15" x14ac:dyDescent="0.3">
      <c r="N15" t="s">
        <v>67</v>
      </c>
      <c r="O15" s="3" t="s">
        <v>77</v>
      </c>
    </row>
    <row r="16" spans="1:15" x14ac:dyDescent="0.3">
      <c r="N16" t="s">
        <v>67</v>
      </c>
      <c r="O16" s="3" t="s">
        <v>76</v>
      </c>
    </row>
    <row r="17" spans="3:15" x14ac:dyDescent="0.3">
      <c r="N17" t="s">
        <v>67</v>
      </c>
      <c r="O17" s="3" t="s">
        <v>77</v>
      </c>
    </row>
    <row r="18" spans="3:15" x14ac:dyDescent="0.3">
      <c r="N18" t="s">
        <v>67</v>
      </c>
      <c r="O18" s="3" t="s">
        <v>76</v>
      </c>
    </row>
    <row r="19" spans="3:15" x14ac:dyDescent="0.3">
      <c r="C19" s="42"/>
      <c r="N19" t="s">
        <v>68</v>
      </c>
      <c r="O19" s="3" t="s">
        <v>78</v>
      </c>
    </row>
    <row r="20" spans="3:15" x14ac:dyDescent="0.3">
      <c r="N20" t="s">
        <v>68</v>
      </c>
      <c r="O20" s="3" t="s">
        <v>79</v>
      </c>
    </row>
    <row r="21" spans="3:15" x14ac:dyDescent="0.3">
      <c r="N21" t="s">
        <v>68</v>
      </c>
      <c r="O21" s="3" t="s">
        <v>78</v>
      </c>
    </row>
    <row r="22" spans="3:15" x14ac:dyDescent="0.3">
      <c r="N22" t="s">
        <v>68</v>
      </c>
      <c r="O22" s="3" t="s">
        <v>79</v>
      </c>
    </row>
    <row r="23" spans="3:15" x14ac:dyDescent="0.3">
      <c r="N23" t="s">
        <v>68</v>
      </c>
      <c r="O23" s="3" t="s">
        <v>78</v>
      </c>
    </row>
    <row r="24" spans="3:15" x14ac:dyDescent="0.3">
      <c r="N24" t="s">
        <v>68</v>
      </c>
      <c r="O24" s="3" t="s">
        <v>79</v>
      </c>
    </row>
  </sheetData>
  <sheetProtection formatCells="0" sort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61"/>
  <sheetViews>
    <sheetView workbookViewId="0">
      <selection activeCell="E9" sqref="E9"/>
    </sheetView>
  </sheetViews>
  <sheetFormatPr defaultRowHeight="14.4" x14ac:dyDescent="0.3"/>
  <sheetData>
    <row r="1" spans="1:10" x14ac:dyDescent="0.3">
      <c r="A1" s="51" t="s">
        <v>192</v>
      </c>
      <c r="B1" s="51" t="s">
        <v>196</v>
      </c>
      <c r="C1" s="51" t="s">
        <v>197</v>
      </c>
      <c r="D1" s="51" t="s">
        <v>199</v>
      </c>
      <c r="E1" s="51" t="s">
        <v>200</v>
      </c>
      <c r="F1" s="51" t="s">
        <v>201</v>
      </c>
      <c r="G1" s="51" t="s">
        <v>202</v>
      </c>
      <c r="H1" s="51" t="s">
        <v>203</v>
      </c>
      <c r="I1" s="51" t="s">
        <v>204</v>
      </c>
      <c r="J1" s="51" t="s">
        <v>206</v>
      </c>
    </row>
    <row r="2" spans="1:10" x14ac:dyDescent="0.3">
      <c r="A2">
        <v>40001</v>
      </c>
      <c r="B2">
        <v>20001</v>
      </c>
      <c r="C2">
        <v>30001</v>
      </c>
      <c r="D2">
        <v>0</v>
      </c>
      <c r="E2">
        <f>VLOOKUP(B:B,[2]DC!A:H,7,FALSE)</f>
        <v>34.081569600000002</v>
      </c>
      <c r="F2">
        <f>VLOOKUP(B2,[2]DC!A:H,8,FALSE)</f>
        <v>-118.3892793</v>
      </c>
      <c r="G2">
        <f>VLOOKUP(C:C,[2]Dealer!A:H,7,0)</f>
        <v>34.726982700000001</v>
      </c>
      <c r="H2">
        <f>VLOOKUP(C:C,[2]Dealer!A:H,8,0)</f>
        <v>-86.590785600000004</v>
      </c>
      <c r="I2">
        <f>ACOS(COS(RADIANS(90-E2)) *COS(RADIANS(90-G2)) +SIN(RADIANS(90-E2)) *SIN(RADIANS(90-G2)) *COS(RADIANS(F2-H2))) *6371</f>
        <v>2905.9690663565739</v>
      </c>
      <c r="J2" s="71">
        <v>1.5</v>
      </c>
    </row>
    <row r="3" spans="1:10" x14ac:dyDescent="0.3">
      <c r="A3">
        <v>40001</v>
      </c>
      <c r="B3">
        <v>20001</v>
      </c>
      <c r="C3">
        <v>30001</v>
      </c>
      <c r="D3">
        <v>12000</v>
      </c>
      <c r="E3">
        <f>VLOOKUP(B3,[2]DC!A:H,7,FALSE)</f>
        <v>34.081569600000002</v>
      </c>
      <c r="F3">
        <f>VLOOKUP(B3,[2]DC!A:H,8,FALSE)</f>
        <v>-118.3892793</v>
      </c>
      <c r="G3">
        <f>VLOOKUP(C:C,[2]Dealer!A:H,7,0)</f>
        <v>34.726982700000001</v>
      </c>
      <c r="H3">
        <f>VLOOKUP(C:C,[2]Dealer!A:H,8,0)</f>
        <v>-86.590785600000004</v>
      </c>
      <c r="I3">
        <f t="shared" ref="I3:I61" si="0">ACOS(COS(RADIANS(90-E3)) *COS(RADIANS(90-G3)) +SIN(RADIANS(90-E3)) *SIN(RADIANS(90-G3)) *COS(RADIANS(F3-H3))) *6371</f>
        <v>2905.9690663565739</v>
      </c>
      <c r="J3" s="71">
        <v>0.8</v>
      </c>
    </row>
    <row r="4" spans="1:10" x14ac:dyDescent="0.3">
      <c r="A4">
        <v>40001</v>
      </c>
      <c r="B4">
        <v>20001</v>
      </c>
      <c r="C4">
        <v>30001</v>
      </c>
      <c r="D4">
        <v>7500</v>
      </c>
      <c r="E4">
        <f>VLOOKUP(B4,[2]DC!A:H,7,FALSE)</f>
        <v>34.081569600000002</v>
      </c>
      <c r="F4">
        <f>VLOOKUP(B4,[2]DC!A:H,8,FALSE)</f>
        <v>-118.3892793</v>
      </c>
      <c r="G4">
        <f>VLOOKUP(C:C,[2]Dealer!A:H,7,0)</f>
        <v>34.726982700000001</v>
      </c>
      <c r="H4">
        <f>VLOOKUP(C:C,[2]Dealer!A:H,8,0)</f>
        <v>-86.590785600000004</v>
      </c>
      <c r="I4">
        <f t="shared" si="0"/>
        <v>2905.9690663565739</v>
      </c>
      <c r="J4" s="71">
        <v>0.5</v>
      </c>
    </row>
    <row r="5" spans="1:10" x14ac:dyDescent="0.3">
      <c r="A5">
        <v>40001</v>
      </c>
      <c r="B5">
        <v>20001</v>
      </c>
      <c r="C5">
        <v>30001</v>
      </c>
      <c r="D5">
        <v>13000</v>
      </c>
      <c r="E5">
        <f>VLOOKUP(B5,[2]DC!A:H,7,FALSE)</f>
        <v>34.081569600000002</v>
      </c>
      <c r="F5">
        <f>VLOOKUP(B5,[2]DC!A:H,8,FALSE)</f>
        <v>-118.3892793</v>
      </c>
      <c r="G5">
        <f>VLOOKUP(C:C,[2]Dealer!A:H,7,0)</f>
        <v>34.726982700000001</v>
      </c>
      <c r="H5">
        <f>VLOOKUP(C:C,[2]Dealer!A:H,8,0)</f>
        <v>-86.590785600000004</v>
      </c>
      <c r="I5">
        <f t="shared" si="0"/>
        <v>2905.9690663565739</v>
      </c>
      <c r="J5" s="71">
        <v>1.5</v>
      </c>
    </row>
    <row r="6" spans="1:10" x14ac:dyDescent="0.3">
      <c r="A6">
        <v>40001</v>
      </c>
      <c r="B6">
        <v>20001</v>
      </c>
      <c r="C6">
        <v>30001</v>
      </c>
      <c r="D6">
        <v>0</v>
      </c>
      <c r="E6">
        <f>VLOOKUP(B6,[2]DC!A:H,7,FALSE)</f>
        <v>34.081569600000002</v>
      </c>
      <c r="F6">
        <f>VLOOKUP(B6,[2]DC!A:H,8,FALSE)</f>
        <v>-118.3892793</v>
      </c>
      <c r="G6">
        <f>VLOOKUP(C:C,[2]Dealer!A:H,7,0)</f>
        <v>34.726982700000001</v>
      </c>
      <c r="H6">
        <f>VLOOKUP(C:C,[2]Dealer!A:H,8,0)</f>
        <v>-86.590785600000004</v>
      </c>
      <c r="I6">
        <f t="shared" si="0"/>
        <v>2905.9690663565739</v>
      </c>
      <c r="J6" s="71">
        <v>3</v>
      </c>
    </row>
    <row r="7" spans="1:10" x14ac:dyDescent="0.3">
      <c r="A7">
        <v>40001</v>
      </c>
      <c r="B7">
        <v>20002</v>
      </c>
      <c r="C7">
        <v>30001</v>
      </c>
      <c r="D7">
        <v>0</v>
      </c>
      <c r="E7">
        <f>VLOOKUP(B7,[2]DC!A:H,7,FALSE)</f>
        <v>32.777856</v>
      </c>
      <c r="F7">
        <f>VLOOKUP(B7,[2]DC!A:H,8,FALSE)</f>
        <v>-96.760088100000004</v>
      </c>
      <c r="G7">
        <f>VLOOKUP(C:C,[2]Dealer!A:H,7,0)</f>
        <v>34.726982700000001</v>
      </c>
      <c r="H7">
        <f>VLOOKUP(C:C,[2]Dealer!A:H,8,0)</f>
        <v>-86.590785600000004</v>
      </c>
      <c r="I7">
        <f t="shared" si="0"/>
        <v>964.36062769311445</v>
      </c>
      <c r="J7" s="71">
        <v>1</v>
      </c>
    </row>
    <row r="8" spans="1:10" x14ac:dyDescent="0.3">
      <c r="A8">
        <v>40001</v>
      </c>
      <c r="B8">
        <v>20002</v>
      </c>
      <c r="C8">
        <v>30001</v>
      </c>
      <c r="D8">
        <v>0</v>
      </c>
      <c r="E8">
        <f>VLOOKUP(B8,[2]DC!A:H,7,FALSE)</f>
        <v>32.777856</v>
      </c>
      <c r="F8">
        <f>VLOOKUP(B8,[2]DC!A:H,8,FALSE)</f>
        <v>-96.760088100000004</v>
      </c>
      <c r="G8">
        <f>VLOOKUP(C:C,[2]Dealer!A:H,7,0)</f>
        <v>34.726982700000001</v>
      </c>
      <c r="H8">
        <f>VLOOKUP(C:C,[2]Dealer!A:H,8,0)</f>
        <v>-86.590785600000004</v>
      </c>
      <c r="I8">
        <f t="shared" si="0"/>
        <v>964.36062769311445</v>
      </c>
      <c r="J8" s="71">
        <v>0.5</v>
      </c>
    </row>
    <row r="9" spans="1:10" x14ac:dyDescent="0.3">
      <c r="A9">
        <v>40001</v>
      </c>
      <c r="B9">
        <v>20002</v>
      </c>
      <c r="C9">
        <v>30001</v>
      </c>
      <c r="D9">
        <v>0</v>
      </c>
      <c r="E9">
        <f>VLOOKUP(B9,[2]DC!A:H,7,FALSE)</f>
        <v>32.777856</v>
      </c>
      <c r="F9">
        <f>VLOOKUP(B9,[2]DC!A:H,8,FALSE)</f>
        <v>-96.760088100000004</v>
      </c>
      <c r="G9">
        <f>VLOOKUP(C:C,[2]Dealer!A:H,7,0)</f>
        <v>34.726982700000001</v>
      </c>
      <c r="H9">
        <f>VLOOKUP(C:C,[2]Dealer!A:H,8,0)</f>
        <v>-86.590785600000004</v>
      </c>
      <c r="I9">
        <f t="shared" si="0"/>
        <v>964.36062769311445</v>
      </c>
      <c r="J9" s="71">
        <v>0.5</v>
      </c>
    </row>
    <row r="10" spans="1:10" x14ac:dyDescent="0.3">
      <c r="A10">
        <v>40001</v>
      </c>
      <c r="B10">
        <v>20002</v>
      </c>
      <c r="C10">
        <v>30001</v>
      </c>
      <c r="D10">
        <v>19000</v>
      </c>
      <c r="E10">
        <f>VLOOKUP(B10,[2]DC!A:H,7,FALSE)</f>
        <v>32.777856</v>
      </c>
      <c r="F10">
        <f>VLOOKUP(B10,[2]DC!A:H,8,FALSE)</f>
        <v>-96.760088100000004</v>
      </c>
      <c r="G10">
        <f>VLOOKUP(C:C,[2]Dealer!A:H,7,0)</f>
        <v>34.726982700000001</v>
      </c>
      <c r="H10">
        <f>VLOOKUP(C:C,[2]Dealer!A:H,8,0)</f>
        <v>-86.590785600000004</v>
      </c>
      <c r="I10">
        <f t="shared" si="0"/>
        <v>964.36062769311445</v>
      </c>
      <c r="J10" s="71">
        <v>1</v>
      </c>
    </row>
    <row r="11" spans="1:10" x14ac:dyDescent="0.3">
      <c r="A11">
        <v>40001</v>
      </c>
      <c r="B11">
        <v>20002</v>
      </c>
      <c r="C11">
        <v>30001</v>
      </c>
      <c r="D11">
        <v>1000</v>
      </c>
      <c r="E11">
        <f>VLOOKUP(B11,[2]DC!A:H,7,FALSE)</f>
        <v>32.777856</v>
      </c>
      <c r="F11">
        <f>VLOOKUP(B11,[2]DC!A:H,8,FALSE)</f>
        <v>-96.760088100000004</v>
      </c>
      <c r="G11">
        <f>VLOOKUP(C:C,[2]Dealer!A:H,7,0)</f>
        <v>34.726982700000001</v>
      </c>
      <c r="H11">
        <f>VLOOKUP(C:C,[2]Dealer!A:H,8,0)</f>
        <v>-86.590785600000004</v>
      </c>
      <c r="I11">
        <f t="shared" si="0"/>
        <v>964.36062769311445</v>
      </c>
      <c r="J11" s="71">
        <v>0.5</v>
      </c>
    </row>
    <row r="12" spans="1:10" x14ac:dyDescent="0.3">
      <c r="A12">
        <v>40001</v>
      </c>
      <c r="B12">
        <v>20003</v>
      </c>
      <c r="C12">
        <v>30001</v>
      </c>
      <c r="D12">
        <v>30000</v>
      </c>
      <c r="E12">
        <f>VLOOKUP(B12,[2]DC!A:H,7,FALSE)</f>
        <v>39.077025300000003</v>
      </c>
      <c r="F12">
        <f>VLOOKUP(B12,[2]DC!A:H,8,FALSE)</f>
        <v>-94.586092199999996</v>
      </c>
      <c r="G12">
        <f>VLOOKUP(C:C,[2]Dealer!A:H,7,0)</f>
        <v>34.726982700000001</v>
      </c>
      <c r="H12">
        <f>VLOOKUP(C:C,[2]Dealer!A:H,8,0)</f>
        <v>-86.590785600000004</v>
      </c>
      <c r="I12">
        <f t="shared" si="0"/>
        <v>859.32614173574927</v>
      </c>
      <c r="J12" s="71">
        <v>1</v>
      </c>
    </row>
    <row r="13" spans="1:10" x14ac:dyDescent="0.3">
      <c r="A13">
        <v>40001</v>
      </c>
      <c r="B13">
        <v>20003</v>
      </c>
      <c r="C13">
        <v>30001</v>
      </c>
      <c r="D13">
        <v>0</v>
      </c>
      <c r="E13">
        <f>VLOOKUP(B13,[2]DC!A:H,7,FALSE)</f>
        <v>39.077025300000003</v>
      </c>
      <c r="F13">
        <f>VLOOKUP(B13,[2]DC!A:H,8,FALSE)</f>
        <v>-94.586092199999996</v>
      </c>
      <c r="G13">
        <f>VLOOKUP(C:C,[2]Dealer!A:H,7,0)</f>
        <v>34.726982700000001</v>
      </c>
      <c r="H13">
        <f>VLOOKUP(C:C,[2]Dealer!A:H,8,0)</f>
        <v>-86.590785600000004</v>
      </c>
      <c r="I13">
        <f t="shared" si="0"/>
        <v>859.32614173574927</v>
      </c>
      <c r="J13" s="71">
        <v>1.5</v>
      </c>
    </row>
    <row r="14" spans="1:10" x14ac:dyDescent="0.3">
      <c r="A14">
        <v>40001</v>
      </c>
      <c r="B14">
        <v>20003</v>
      </c>
      <c r="C14">
        <v>30001</v>
      </c>
      <c r="D14">
        <v>0</v>
      </c>
      <c r="E14">
        <f>VLOOKUP(B14,[2]DC!A:H,7,FALSE)</f>
        <v>39.077025300000003</v>
      </c>
      <c r="F14">
        <f>VLOOKUP(B14,[2]DC!A:H,8,FALSE)</f>
        <v>-94.586092199999996</v>
      </c>
      <c r="G14">
        <f>VLOOKUP(C:C,[2]Dealer!A:H,7,0)</f>
        <v>34.726982700000001</v>
      </c>
      <c r="H14">
        <f>VLOOKUP(C:C,[2]Dealer!A:H,8,0)</f>
        <v>-86.590785600000004</v>
      </c>
      <c r="I14">
        <f t="shared" si="0"/>
        <v>859.32614173574927</v>
      </c>
      <c r="J14" s="71">
        <v>2</v>
      </c>
    </row>
    <row r="15" spans="1:10" x14ac:dyDescent="0.3">
      <c r="A15">
        <v>40001</v>
      </c>
      <c r="B15">
        <v>20003</v>
      </c>
      <c r="C15">
        <v>30001</v>
      </c>
      <c r="D15">
        <v>0</v>
      </c>
      <c r="E15">
        <f>VLOOKUP(B15,[2]DC!A:H,7,FALSE)</f>
        <v>39.077025300000003</v>
      </c>
      <c r="F15">
        <f>VLOOKUP(B15,[2]DC!A:H,8,FALSE)</f>
        <v>-94.586092199999996</v>
      </c>
      <c r="G15">
        <f>VLOOKUP(C:C,[2]Dealer!A:H,7,0)</f>
        <v>34.726982700000001</v>
      </c>
      <c r="H15">
        <f>VLOOKUP(C:C,[2]Dealer!A:H,8,0)</f>
        <v>-86.590785600000004</v>
      </c>
      <c r="I15">
        <f t="shared" si="0"/>
        <v>859.32614173574927</v>
      </c>
      <c r="J15" s="71">
        <v>2</v>
      </c>
    </row>
    <row r="16" spans="1:10" x14ac:dyDescent="0.3">
      <c r="A16">
        <v>40001</v>
      </c>
      <c r="B16">
        <v>20003</v>
      </c>
      <c r="C16">
        <v>30001</v>
      </c>
      <c r="D16">
        <v>0</v>
      </c>
      <c r="E16">
        <f>VLOOKUP(B16,[2]DC!A:H,7,FALSE)</f>
        <v>39.077025300000003</v>
      </c>
      <c r="F16">
        <f>VLOOKUP(B16,[2]DC!A:H,8,FALSE)</f>
        <v>-94.586092199999996</v>
      </c>
      <c r="G16">
        <f>VLOOKUP(C:C,[2]Dealer!A:H,7,0)</f>
        <v>34.726982700000001</v>
      </c>
      <c r="H16">
        <f>VLOOKUP(C:C,[2]Dealer!A:H,8,0)</f>
        <v>-86.590785600000004</v>
      </c>
      <c r="I16">
        <f t="shared" si="0"/>
        <v>859.32614173574927</v>
      </c>
      <c r="J16" s="71">
        <v>0.5</v>
      </c>
    </row>
    <row r="17" spans="1:10" x14ac:dyDescent="0.3">
      <c r="A17">
        <v>40001</v>
      </c>
      <c r="B17">
        <v>20004</v>
      </c>
      <c r="C17">
        <v>30001</v>
      </c>
      <c r="D17">
        <v>0</v>
      </c>
      <c r="E17">
        <f>VLOOKUP(B17,[2]DC!A:H,7,FALSE)</f>
        <v>39.773898099999997</v>
      </c>
      <c r="F17">
        <f>VLOOKUP(B17,[2]DC!A:H,8,FALSE)</f>
        <v>-86.176306199999999</v>
      </c>
      <c r="G17">
        <f>VLOOKUP(C:C,[2]Dealer!A:H,7,0)</f>
        <v>34.726982700000001</v>
      </c>
      <c r="H17">
        <f>VLOOKUP(C:C,[2]Dealer!A:H,8,0)</f>
        <v>-86.590785600000004</v>
      </c>
      <c r="I17">
        <f t="shared" si="0"/>
        <v>562.3870980795781</v>
      </c>
      <c r="J17" s="71">
        <v>2.5</v>
      </c>
    </row>
    <row r="18" spans="1:10" x14ac:dyDescent="0.3">
      <c r="A18">
        <v>40001</v>
      </c>
      <c r="B18">
        <v>20004</v>
      </c>
      <c r="C18">
        <v>30001</v>
      </c>
      <c r="D18">
        <v>0</v>
      </c>
      <c r="E18">
        <f>VLOOKUP(B18,[2]DC!A:H,7,FALSE)</f>
        <v>39.773898099999997</v>
      </c>
      <c r="F18">
        <f>VLOOKUP(B18,[2]DC!A:H,8,FALSE)</f>
        <v>-86.176306199999999</v>
      </c>
      <c r="G18">
        <f>VLOOKUP(C:C,[2]Dealer!A:H,7,0)</f>
        <v>34.726982700000001</v>
      </c>
      <c r="H18">
        <f>VLOOKUP(C:C,[2]Dealer!A:H,8,0)</f>
        <v>-86.590785600000004</v>
      </c>
      <c r="I18">
        <f t="shared" si="0"/>
        <v>562.3870980795781</v>
      </c>
      <c r="J18" s="71">
        <v>1.5</v>
      </c>
    </row>
    <row r="19" spans="1:10" x14ac:dyDescent="0.3">
      <c r="A19">
        <v>40001</v>
      </c>
      <c r="B19">
        <v>20004</v>
      </c>
      <c r="C19">
        <v>30001</v>
      </c>
      <c r="D19">
        <v>0</v>
      </c>
      <c r="E19">
        <f>VLOOKUP(B19,[2]DC!A:H,7,FALSE)</f>
        <v>39.773898099999997</v>
      </c>
      <c r="F19">
        <f>VLOOKUP(B19,[2]DC!A:H,8,FALSE)</f>
        <v>-86.176306199999999</v>
      </c>
      <c r="G19">
        <f>VLOOKUP(C:C,[2]Dealer!A:H,7,0)</f>
        <v>34.726982700000001</v>
      </c>
      <c r="H19">
        <f>VLOOKUP(C:C,[2]Dealer!A:H,8,0)</f>
        <v>-86.590785600000004</v>
      </c>
      <c r="I19">
        <f t="shared" si="0"/>
        <v>562.3870980795781</v>
      </c>
      <c r="J19" s="71">
        <v>0.6</v>
      </c>
    </row>
    <row r="20" spans="1:10" x14ac:dyDescent="0.3">
      <c r="A20">
        <v>40001</v>
      </c>
      <c r="B20">
        <v>20004</v>
      </c>
      <c r="C20">
        <v>30001</v>
      </c>
      <c r="D20">
        <v>0</v>
      </c>
      <c r="E20">
        <f>VLOOKUP(B20,[2]DC!A:H,7,FALSE)</f>
        <v>39.773898099999997</v>
      </c>
      <c r="F20">
        <f>VLOOKUP(B20,[2]DC!A:H,8,FALSE)</f>
        <v>-86.176306199999999</v>
      </c>
      <c r="G20">
        <f>VLOOKUP(C:C,[2]Dealer!A:H,7,0)</f>
        <v>34.726982700000001</v>
      </c>
      <c r="H20">
        <f>VLOOKUP(C:C,[2]Dealer!A:H,8,0)</f>
        <v>-86.590785600000004</v>
      </c>
      <c r="I20">
        <f t="shared" si="0"/>
        <v>562.3870980795781</v>
      </c>
      <c r="J20" s="71">
        <v>1.5</v>
      </c>
    </row>
    <row r="21" spans="1:10" x14ac:dyDescent="0.3">
      <c r="A21">
        <v>40001</v>
      </c>
      <c r="B21">
        <v>20004</v>
      </c>
      <c r="C21">
        <v>30001</v>
      </c>
      <c r="D21">
        <v>15000</v>
      </c>
      <c r="E21">
        <f>VLOOKUP(B21,[2]DC!A:H,7,FALSE)</f>
        <v>39.773898099999997</v>
      </c>
      <c r="F21">
        <f>VLOOKUP(B21,[2]DC!A:H,8,FALSE)</f>
        <v>-86.176306199999999</v>
      </c>
      <c r="G21">
        <f>VLOOKUP(C:C,[2]Dealer!A:H,7,0)</f>
        <v>34.726982700000001</v>
      </c>
      <c r="H21">
        <f>VLOOKUP(C:C,[2]Dealer!A:H,8,0)</f>
        <v>-86.590785600000004</v>
      </c>
      <c r="I21">
        <f t="shared" si="0"/>
        <v>562.3870980795781</v>
      </c>
      <c r="J21" s="71">
        <v>0.5</v>
      </c>
    </row>
    <row r="22" spans="1:10" x14ac:dyDescent="0.3">
      <c r="A22">
        <v>40002</v>
      </c>
      <c r="B22">
        <v>20001</v>
      </c>
      <c r="C22">
        <v>30001</v>
      </c>
      <c r="D22">
        <v>10000</v>
      </c>
      <c r="E22">
        <f>VLOOKUP(B22,[2]DC!A:H,7,FALSE)</f>
        <v>34.081569600000002</v>
      </c>
      <c r="F22">
        <f>VLOOKUP(B22,[2]DC!A:H,8,FALSE)</f>
        <v>-118.3892793</v>
      </c>
      <c r="G22">
        <f>VLOOKUP(C:C,[2]Dealer!A:H,7,0)</f>
        <v>34.726982700000001</v>
      </c>
      <c r="H22">
        <f>VLOOKUP(C:C,[2]Dealer!A:H,8,0)</f>
        <v>-86.590785600000004</v>
      </c>
      <c r="I22">
        <f t="shared" si="0"/>
        <v>2905.9690663565739</v>
      </c>
      <c r="J22" s="71">
        <v>1</v>
      </c>
    </row>
    <row r="23" spans="1:10" x14ac:dyDescent="0.3">
      <c r="A23">
        <v>40002</v>
      </c>
      <c r="B23">
        <v>20001</v>
      </c>
      <c r="C23">
        <v>30001</v>
      </c>
      <c r="D23">
        <v>5000</v>
      </c>
      <c r="E23">
        <f>VLOOKUP(B23,[2]DC!A:H,7,FALSE)</f>
        <v>34.081569600000002</v>
      </c>
      <c r="F23">
        <f>VLOOKUP(B23,[2]DC!A:H,8,FALSE)</f>
        <v>-118.3892793</v>
      </c>
      <c r="G23">
        <f>VLOOKUP(C:C,[2]Dealer!A:H,7,0)</f>
        <v>34.726982700000001</v>
      </c>
      <c r="H23">
        <f>VLOOKUP(C:C,[2]Dealer!A:H,8,0)</f>
        <v>-86.590785600000004</v>
      </c>
      <c r="I23">
        <f t="shared" si="0"/>
        <v>2905.9690663565739</v>
      </c>
      <c r="J23" s="71">
        <v>0.9</v>
      </c>
    </row>
    <row r="24" spans="1:10" x14ac:dyDescent="0.3">
      <c r="A24">
        <v>40002</v>
      </c>
      <c r="B24">
        <v>20001</v>
      </c>
      <c r="C24">
        <v>30001</v>
      </c>
      <c r="D24">
        <v>0</v>
      </c>
      <c r="E24">
        <f>VLOOKUP(B24,[2]DC!A:H,7,FALSE)</f>
        <v>34.081569600000002</v>
      </c>
      <c r="F24">
        <f>VLOOKUP(B24,[2]DC!A:H,8,FALSE)</f>
        <v>-118.3892793</v>
      </c>
      <c r="G24">
        <f>VLOOKUP(C:C,[2]Dealer!A:H,7,0)</f>
        <v>34.726982700000001</v>
      </c>
      <c r="H24">
        <f>VLOOKUP(C:C,[2]Dealer!A:H,8,0)</f>
        <v>-86.590785600000004</v>
      </c>
      <c r="I24">
        <f t="shared" si="0"/>
        <v>2905.9690663565739</v>
      </c>
      <c r="J24" s="71">
        <v>1.2</v>
      </c>
    </row>
    <row r="25" spans="1:10" x14ac:dyDescent="0.3">
      <c r="A25">
        <v>40002</v>
      </c>
      <c r="B25">
        <v>20001</v>
      </c>
      <c r="C25">
        <v>30001</v>
      </c>
      <c r="D25">
        <v>0</v>
      </c>
      <c r="E25">
        <f>VLOOKUP(B25,[2]DC!A:H,7,FALSE)</f>
        <v>34.081569600000002</v>
      </c>
      <c r="F25">
        <f>VLOOKUP(B25,[2]DC!A:H,8,FALSE)</f>
        <v>-118.3892793</v>
      </c>
      <c r="G25">
        <f>VLOOKUP(C:C,[2]Dealer!A:H,7,0)</f>
        <v>34.726982700000001</v>
      </c>
      <c r="H25">
        <f>VLOOKUP(C:C,[2]Dealer!A:H,8,0)</f>
        <v>-86.590785600000004</v>
      </c>
      <c r="I25">
        <f t="shared" si="0"/>
        <v>2905.9690663565739</v>
      </c>
      <c r="J25" s="71">
        <v>1.3</v>
      </c>
    </row>
    <row r="26" spans="1:10" x14ac:dyDescent="0.3">
      <c r="A26">
        <v>40002</v>
      </c>
      <c r="B26">
        <v>20001</v>
      </c>
      <c r="C26">
        <v>30001</v>
      </c>
      <c r="D26">
        <v>0</v>
      </c>
      <c r="E26">
        <f>VLOOKUP(B26,[2]DC!A:H,7,FALSE)</f>
        <v>34.081569600000002</v>
      </c>
      <c r="F26">
        <f>VLOOKUP(B26,[2]DC!A:H,8,FALSE)</f>
        <v>-118.3892793</v>
      </c>
      <c r="G26">
        <f>VLOOKUP(C:C,[2]Dealer!A:H,7,0)</f>
        <v>34.726982700000001</v>
      </c>
      <c r="H26">
        <f>VLOOKUP(C:C,[2]Dealer!A:H,8,0)</f>
        <v>-86.590785600000004</v>
      </c>
      <c r="I26">
        <f t="shared" si="0"/>
        <v>2905.9690663565739</v>
      </c>
      <c r="J26" s="71">
        <v>2.1</v>
      </c>
    </row>
    <row r="27" spans="1:10" x14ac:dyDescent="0.3">
      <c r="A27">
        <v>40002</v>
      </c>
      <c r="B27">
        <v>20002</v>
      </c>
      <c r="C27">
        <v>30001</v>
      </c>
      <c r="D27">
        <v>0</v>
      </c>
      <c r="E27">
        <f>VLOOKUP(B27,[2]DC!A:H,7,FALSE)</f>
        <v>32.777856</v>
      </c>
      <c r="F27">
        <f>VLOOKUP(B27,[2]DC!A:H,8,FALSE)</f>
        <v>-96.760088100000004</v>
      </c>
      <c r="G27">
        <f>VLOOKUP(C:C,[2]Dealer!A:H,7,0)</f>
        <v>34.726982700000001</v>
      </c>
      <c r="H27">
        <f>VLOOKUP(C:C,[2]Dealer!A:H,8,0)</f>
        <v>-86.590785600000004</v>
      </c>
      <c r="I27">
        <f t="shared" si="0"/>
        <v>964.36062769311445</v>
      </c>
      <c r="J27" s="71">
        <v>1.25</v>
      </c>
    </row>
    <row r="28" spans="1:10" x14ac:dyDescent="0.3">
      <c r="A28">
        <v>40002</v>
      </c>
      <c r="B28">
        <v>20002</v>
      </c>
      <c r="C28">
        <v>30001</v>
      </c>
      <c r="D28">
        <v>13000</v>
      </c>
      <c r="E28">
        <f>VLOOKUP(B28,[2]DC!A:H,7,FALSE)</f>
        <v>32.777856</v>
      </c>
      <c r="F28">
        <f>VLOOKUP(B28,[2]DC!A:H,8,FALSE)</f>
        <v>-96.760088100000004</v>
      </c>
      <c r="G28">
        <f>VLOOKUP(C:C,[2]Dealer!A:H,7,0)</f>
        <v>34.726982700000001</v>
      </c>
      <c r="H28">
        <f>VLOOKUP(C:C,[2]Dealer!A:H,8,0)</f>
        <v>-86.590785600000004</v>
      </c>
      <c r="I28">
        <f t="shared" si="0"/>
        <v>964.36062769311445</v>
      </c>
      <c r="J28" s="71">
        <v>1</v>
      </c>
    </row>
    <row r="29" spans="1:10" x14ac:dyDescent="0.3">
      <c r="A29">
        <v>40002</v>
      </c>
      <c r="B29">
        <v>20002</v>
      </c>
      <c r="C29">
        <v>30001</v>
      </c>
      <c r="D29">
        <v>0</v>
      </c>
      <c r="E29">
        <f>VLOOKUP(B29,[2]DC!A:H,7,FALSE)</f>
        <v>32.777856</v>
      </c>
      <c r="F29">
        <f>VLOOKUP(B29,[2]DC!A:H,8,FALSE)</f>
        <v>-96.760088100000004</v>
      </c>
      <c r="G29">
        <f>VLOOKUP(C:C,[2]Dealer!A:H,7,0)</f>
        <v>34.726982700000001</v>
      </c>
      <c r="H29">
        <f>VLOOKUP(C:C,[2]Dealer!A:H,8,0)</f>
        <v>-86.590785600000004</v>
      </c>
      <c r="I29">
        <f t="shared" si="0"/>
        <v>964.36062769311445</v>
      </c>
      <c r="J29" s="71">
        <v>1</v>
      </c>
    </row>
    <row r="30" spans="1:10" x14ac:dyDescent="0.3">
      <c r="A30">
        <v>40002</v>
      </c>
      <c r="B30">
        <v>20002</v>
      </c>
      <c r="C30">
        <v>30001</v>
      </c>
      <c r="D30">
        <v>12000</v>
      </c>
      <c r="E30">
        <f>VLOOKUP(B30,[2]DC!A:H,7,FALSE)</f>
        <v>32.777856</v>
      </c>
      <c r="F30">
        <f>VLOOKUP(B30,[2]DC!A:H,8,FALSE)</f>
        <v>-96.760088100000004</v>
      </c>
      <c r="G30">
        <f>VLOOKUP(C:C,[2]Dealer!A:H,7,0)</f>
        <v>34.726982700000001</v>
      </c>
      <c r="H30">
        <f>VLOOKUP(C:C,[2]Dealer!A:H,8,0)</f>
        <v>-86.590785600000004</v>
      </c>
      <c r="I30">
        <f t="shared" si="0"/>
        <v>964.36062769311445</v>
      </c>
      <c r="J30" s="71">
        <v>0.9</v>
      </c>
    </row>
    <row r="31" spans="1:10" x14ac:dyDescent="0.3">
      <c r="A31">
        <v>40002</v>
      </c>
      <c r="B31">
        <v>20002</v>
      </c>
      <c r="C31">
        <v>30001</v>
      </c>
      <c r="D31">
        <v>0</v>
      </c>
      <c r="E31">
        <f>VLOOKUP(B31,[2]DC!A:H,7,FALSE)</f>
        <v>32.777856</v>
      </c>
      <c r="F31">
        <f>VLOOKUP(B31,[2]DC!A:H,8,FALSE)</f>
        <v>-96.760088100000004</v>
      </c>
      <c r="G31">
        <f>VLOOKUP(C:C,[2]Dealer!A:H,7,0)</f>
        <v>34.726982700000001</v>
      </c>
      <c r="H31">
        <f>VLOOKUP(C:C,[2]Dealer!A:H,8,0)</f>
        <v>-86.590785600000004</v>
      </c>
      <c r="I31">
        <f t="shared" si="0"/>
        <v>964.36062769311445</v>
      </c>
      <c r="J31" s="71">
        <v>1.5</v>
      </c>
    </row>
    <row r="32" spans="1:10" x14ac:dyDescent="0.3">
      <c r="A32">
        <v>40002</v>
      </c>
      <c r="B32">
        <v>20003</v>
      </c>
      <c r="C32">
        <v>30001</v>
      </c>
      <c r="D32">
        <v>10000</v>
      </c>
      <c r="E32">
        <f>VLOOKUP(B32,[2]DC!A:H,7,FALSE)</f>
        <v>39.077025300000003</v>
      </c>
      <c r="F32">
        <f>VLOOKUP(B32,[2]DC!A:H,8,FALSE)</f>
        <v>-94.586092199999996</v>
      </c>
      <c r="G32">
        <f>VLOOKUP(C:C,[2]Dealer!A:H,7,0)</f>
        <v>34.726982700000001</v>
      </c>
      <c r="H32">
        <f>VLOOKUP(C:C,[2]Dealer!A:H,8,0)</f>
        <v>-86.590785600000004</v>
      </c>
      <c r="I32">
        <f t="shared" si="0"/>
        <v>859.32614173574927</v>
      </c>
      <c r="J32" s="71">
        <v>0.9</v>
      </c>
    </row>
    <row r="33" spans="1:10" x14ac:dyDescent="0.3">
      <c r="A33">
        <v>40002</v>
      </c>
      <c r="B33">
        <v>20003</v>
      </c>
      <c r="C33">
        <v>30001</v>
      </c>
      <c r="D33">
        <v>0</v>
      </c>
      <c r="E33">
        <f>VLOOKUP(B33,[2]DC!A:H,7,FALSE)</f>
        <v>39.077025300000003</v>
      </c>
      <c r="F33">
        <f>VLOOKUP(B33,[2]DC!A:H,8,FALSE)</f>
        <v>-94.586092199999996</v>
      </c>
      <c r="G33">
        <f>VLOOKUP(C:C,[2]Dealer!A:H,7,0)</f>
        <v>34.726982700000001</v>
      </c>
      <c r="H33">
        <f>VLOOKUP(C:C,[2]Dealer!A:H,8,0)</f>
        <v>-86.590785600000004</v>
      </c>
      <c r="I33">
        <f t="shared" si="0"/>
        <v>859.32614173574927</v>
      </c>
      <c r="J33" s="71">
        <v>1.35</v>
      </c>
    </row>
    <row r="34" spans="1:10" x14ac:dyDescent="0.3">
      <c r="A34">
        <v>40002</v>
      </c>
      <c r="B34">
        <v>20003</v>
      </c>
      <c r="C34">
        <v>30001</v>
      </c>
      <c r="D34">
        <v>0</v>
      </c>
      <c r="E34">
        <f>VLOOKUP(B34,[2]DC!A:H,7,FALSE)</f>
        <v>39.077025300000003</v>
      </c>
      <c r="F34">
        <f>VLOOKUP(B34,[2]DC!A:H,8,FALSE)</f>
        <v>-94.586092199999996</v>
      </c>
      <c r="G34">
        <f>VLOOKUP(C:C,[2]Dealer!A:H,7,0)</f>
        <v>34.726982700000001</v>
      </c>
      <c r="H34">
        <f>VLOOKUP(C:C,[2]Dealer!A:H,8,0)</f>
        <v>-86.590785600000004</v>
      </c>
      <c r="I34">
        <f t="shared" si="0"/>
        <v>859.32614173574927</v>
      </c>
      <c r="J34" s="71">
        <v>1.45</v>
      </c>
    </row>
    <row r="35" spans="1:10" x14ac:dyDescent="0.3">
      <c r="A35">
        <v>40002</v>
      </c>
      <c r="B35">
        <v>20003</v>
      </c>
      <c r="C35">
        <v>30001</v>
      </c>
      <c r="D35">
        <v>0</v>
      </c>
      <c r="E35">
        <f>VLOOKUP(B35,[2]DC!A:H,7,FALSE)</f>
        <v>39.077025300000003</v>
      </c>
      <c r="F35">
        <f>VLOOKUP(B35,[2]DC!A:H,8,FALSE)</f>
        <v>-94.586092199999996</v>
      </c>
      <c r="G35">
        <f>VLOOKUP(C:C,[2]Dealer!A:H,7,0)</f>
        <v>34.726982700000001</v>
      </c>
      <c r="H35">
        <f>VLOOKUP(C:C,[2]Dealer!A:H,8,0)</f>
        <v>-86.590785600000004</v>
      </c>
      <c r="I35">
        <f t="shared" si="0"/>
        <v>859.32614173574927</v>
      </c>
      <c r="J35" s="71">
        <v>1.8</v>
      </c>
    </row>
    <row r="36" spans="1:10" x14ac:dyDescent="0.3">
      <c r="A36">
        <v>40002</v>
      </c>
      <c r="B36">
        <v>20003</v>
      </c>
      <c r="C36">
        <v>30001</v>
      </c>
      <c r="D36">
        <v>5000</v>
      </c>
      <c r="E36">
        <f>VLOOKUP(B36,[2]DC!A:H,7,FALSE)</f>
        <v>39.077025300000003</v>
      </c>
      <c r="F36">
        <f>VLOOKUP(B36,[2]DC!A:H,8,FALSE)</f>
        <v>-94.586092199999996</v>
      </c>
      <c r="G36">
        <f>VLOOKUP(C:C,[2]Dealer!A:H,7,0)</f>
        <v>34.726982700000001</v>
      </c>
      <c r="H36">
        <f>VLOOKUP(C:C,[2]Dealer!A:H,8,0)</f>
        <v>-86.590785600000004</v>
      </c>
      <c r="I36">
        <f t="shared" si="0"/>
        <v>859.32614173574927</v>
      </c>
      <c r="J36" s="71">
        <v>1</v>
      </c>
    </row>
    <row r="37" spans="1:10" x14ac:dyDescent="0.3">
      <c r="A37">
        <v>40002</v>
      </c>
      <c r="B37">
        <v>20004</v>
      </c>
      <c r="C37">
        <v>30001</v>
      </c>
      <c r="D37">
        <v>0</v>
      </c>
      <c r="E37">
        <f>VLOOKUP(B37,[2]DC!A:H,7,FALSE)</f>
        <v>39.773898099999997</v>
      </c>
      <c r="F37">
        <f>VLOOKUP(B37,[2]DC!A:H,8,FALSE)</f>
        <v>-86.176306199999999</v>
      </c>
      <c r="G37">
        <f>VLOOKUP(C:C,[2]Dealer!A:H,7,0)</f>
        <v>34.726982700000001</v>
      </c>
      <c r="H37">
        <f>VLOOKUP(C:C,[2]Dealer!A:H,8,0)</f>
        <v>-86.590785600000004</v>
      </c>
      <c r="I37">
        <f t="shared" si="0"/>
        <v>562.3870980795781</v>
      </c>
      <c r="J37" s="71">
        <v>1.75</v>
      </c>
    </row>
    <row r="38" spans="1:10" x14ac:dyDescent="0.3">
      <c r="A38">
        <v>40002</v>
      </c>
      <c r="B38">
        <v>20004</v>
      </c>
      <c r="C38">
        <v>30001</v>
      </c>
      <c r="D38">
        <v>0</v>
      </c>
      <c r="E38">
        <f>VLOOKUP(B38,[2]DC!A:H,7,FALSE)</f>
        <v>39.773898099999997</v>
      </c>
      <c r="F38">
        <f>VLOOKUP(B38,[2]DC!A:H,8,FALSE)</f>
        <v>-86.176306199999999</v>
      </c>
      <c r="G38">
        <f>VLOOKUP(C:C,[2]Dealer!A:H,7,0)</f>
        <v>34.726982700000001</v>
      </c>
      <c r="H38">
        <f>VLOOKUP(C:C,[2]Dealer!A:H,8,0)</f>
        <v>-86.590785600000004</v>
      </c>
      <c r="I38">
        <f t="shared" si="0"/>
        <v>562.3870980795781</v>
      </c>
      <c r="J38" s="71">
        <v>1.3</v>
      </c>
    </row>
    <row r="39" spans="1:10" x14ac:dyDescent="0.3">
      <c r="A39">
        <v>40002</v>
      </c>
      <c r="B39">
        <v>20004</v>
      </c>
      <c r="C39">
        <v>30001</v>
      </c>
      <c r="D39">
        <v>11000</v>
      </c>
      <c r="E39">
        <f>VLOOKUP(B39,[2]DC!A:H,7,FALSE)</f>
        <v>39.773898099999997</v>
      </c>
      <c r="F39">
        <f>VLOOKUP(B39,[2]DC!A:H,8,FALSE)</f>
        <v>-86.176306199999999</v>
      </c>
      <c r="G39">
        <f>VLOOKUP(C:C,[2]Dealer!A:H,7,0)</f>
        <v>34.726982700000001</v>
      </c>
      <c r="H39">
        <f>VLOOKUP(C:C,[2]Dealer!A:H,8,0)</f>
        <v>-86.590785600000004</v>
      </c>
      <c r="I39">
        <f t="shared" si="0"/>
        <v>562.3870980795781</v>
      </c>
      <c r="J39" s="71">
        <v>0.7</v>
      </c>
    </row>
    <row r="40" spans="1:10" x14ac:dyDescent="0.3">
      <c r="A40">
        <v>40002</v>
      </c>
      <c r="B40">
        <v>20004</v>
      </c>
      <c r="C40">
        <v>30001</v>
      </c>
      <c r="D40">
        <v>0</v>
      </c>
      <c r="E40">
        <f>VLOOKUP(B40,[2]DC!A:H,7,FALSE)</f>
        <v>39.773898099999997</v>
      </c>
      <c r="F40">
        <f>VLOOKUP(B40,[2]DC!A:H,8,FALSE)</f>
        <v>-86.176306199999999</v>
      </c>
      <c r="G40">
        <f>VLOOKUP(C:C,[2]Dealer!A:H,7,0)</f>
        <v>34.726982700000001</v>
      </c>
      <c r="H40">
        <f>VLOOKUP(C:C,[2]Dealer!A:H,8,0)</f>
        <v>-86.590785600000004</v>
      </c>
      <c r="I40">
        <f t="shared" si="0"/>
        <v>562.3870980795781</v>
      </c>
      <c r="J40" s="71">
        <v>1.25</v>
      </c>
    </row>
    <row r="41" spans="1:10" x14ac:dyDescent="0.3">
      <c r="A41">
        <v>40002</v>
      </c>
      <c r="B41">
        <v>20004</v>
      </c>
      <c r="C41">
        <v>30001</v>
      </c>
      <c r="D41">
        <v>13000</v>
      </c>
      <c r="E41">
        <f>VLOOKUP(B41,[2]DC!A:H,7,FALSE)</f>
        <v>39.773898099999997</v>
      </c>
      <c r="F41">
        <f>VLOOKUP(B41,[2]DC!A:H,8,FALSE)</f>
        <v>-86.176306199999999</v>
      </c>
      <c r="G41">
        <f>VLOOKUP(C:C,[2]Dealer!A:H,7,0)</f>
        <v>34.726982700000001</v>
      </c>
      <c r="H41">
        <f>VLOOKUP(C:C,[2]Dealer!A:H,8,0)</f>
        <v>-86.590785600000004</v>
      </c>
      <c r="I41">
        <f t="shared" si="0"/>
        <v>562.3870980795781</v>
      </c>
      <c r="J41" s="71">
        <v>1.1000000000000001</v>
      </c>
    </row>
    <row r="42" spans="1:10" x14ac:dyDescent="0.3">
      <c r="A42">
        <v>40003</v>
      </c>
      <c r="B42">
        <v>20001</v>
      </c>
      <c r="C42">
        <v>30001</v>
      </c>
      <c r="D42">
        <v>0</v>
      </c>
      <c r="E42">
        <f>VLOOKUP(B42,[2]DC!A:H,7,FALSE)</f>
        <v>34.081569600000002</v>
      </c>
      <c r="F42">
        <f>VLOOKUP(B42,[2]DC!A:H,8,FALSE)</f>
        <v>-118.3892793</v>
      </c>
      <c r="G42">
        <f>VLOOKUP(C:C,[2]Dealer!A:H,7,0)</f>
        <v>34.726982700000001</v>
      </c>
      <c r="H42">
        <f>VLOOKUP(C:C,[2]Dealer!A:H,8,0)</f>
        <v>-86.590785600000004</v>
      </c>
      <c r="I42">
        <f t="shared" si="0"/>
        <v>2905.9690663565739</v>
      </c>
      <c r="J42" s="71">
        <v>1.25</v>
      </c>
    </row>
    <row r="43" spans="1:10" x14ac:dyDescent="0.3">
      <c r="A43">
        <v>40003</v>
      </c>
      <c r="B43">
        <v>20001</v>
      </c>
      <c r="C43">
        <v>30001</v>
      </c>
      <c r="D43">
        <v>11000</v>
      </c>
      <c r="E43">
        <f>VLOOKUP(B43,[2]DC!A:H,7,FALSE)</f>
        <v>34.081569600000002</v>
      </c>
      <c r="F43">
        <f>VLOOKUP(B43,[2]DC!A:H,8,FALSE)</f>
        <v>-118.3892793</v>
      </c>
      <c r="G43">
        <f>VLOOKUP(C:C,[2]Dealer!A:H,7,0)</f>
        <v>34.726982700000001</v>
      </c>
      <c r="H43">
        <f>VLOOKUP(C:C,[2]Dealer!A:H,8,0)</f>
        <v>-86.590785600000004</v>
      </c>
      <c r="I43">
        <f t="shared" si="0"/>
        <v>2905.9690663565739</v>
      </c>
      <c r="J43" s="71">
        <v>0.7</v>
      </c>
    </row>
    <row r="44" spans="1:10" x14ac:dyDescent="0.3">
      <c r="A44">
        <v>40003</v>
      </c>
      <c r="B44">
        <v>20001</v>
      </c>
      <c r="C44">
        <v>30001</v>
      </c>
      <c r="D44">
        <v>0</v>
      </c>
      <c r="E44">
        <f>VLOOKUP(B44,[2]DC!A:H,7,FALSE)</f>
        <v>34.081569600000002</v>
      </c>
      <c r="F44">
        <f>VLOOKUP(B44,[2]DC!A:H,8,FALSE)</f>
        <v>-118.3892793</v>
      </c>
      <c r="G44">
        <f>VLOOKUP(C:C,[2]Dealer!A:H,7,0)</f>
        <v>34.726982700000001</v>
      </c>
      <c r="H44">
        <f>VLOOKUP(C:C,[2]Dealer!A:H,8,0)</f>
        <v>-86.590785600000004</v>
      </c>
      <c r="I44">
        <f t="shared" si="0"/>
        <v>2905.9690663565739</v>
      </c>
      <c r="J44" s="71">
        <v>1.1000000000000001</v>
      </c>
    </row>
    <row r="45" spans="1:10" x14ac:dyDescent="0.3">
      <c r="A45">
        <v>40003</v>
      </c>
      <c r="B45">
        <v>20001</v>
      </c>
      <c r="C45">
        <v>30001</v>
      </c>
      <c r="D45">
        <v>9000</v>
      </c>
      <c r="E45">
        <f>VLOOKUP(B45,[2]DC!A:H,7,FALSE)</f>
        <v>34.081569600000002</v>
      </c>
      <c r="F45">
        <f>VLOOKUP(B45,[2]DC!A:H,8,FALSE)</f>
        <v>-118.3892793</v>
      </c>
      <c r="G45">
        <f>VLOOKUP(C:C,[2]Dealer!A:H,7,0)</f>
        <v>34.726982700000001</v>
      </c>
      <c r="H45">
        <f>VLOOKUP(C:C,[2]Dealer!A:H,8,0)</f>
        <v>-86.590785600000004</v>
      </c>
      <c r="I45">
        <f t="shared" si="0"/>
        <v>2905.9690663565739</v>
      </c>
      <c r="J45" s="71">
        <v>0.8</v>
      </c>
    </row>
    <row r="46" spans="1:10" x14ac:dyDescent="0.3">
      <c r="A46">
        <v>40003</v>
      </c>
      <c r="B46">
        <v>20001</v>
      </c>
      <c r="C46">
        <v>30001</v>
      </c>
      <c r="D46">
        <v>0</v>
      </c>
      <c r="E46">
        <f>VLOOKUP(B46,[2]DC!A:H,7,FALSE)</f>
        <v>34.081569600000002</v>
      </c>
      <c r="F46">
        <f>VLOOKUP(B46,[2]DC!A:H,8,FALSE)</f>
        <v>-118.3892793</v>
      </c>
      <c r="G46">
        <f>VLOOKUP(C:C,[2]Dealer!A:H,7,0)</f>
        <v>34.726982700000001</v>
      </c>
      <c r="H46">
        <f>VLOOKUP(C:C,[2]Dealer!A:H,8,0)</f>
        <v>-86.590785600000004</v>
      </c>
      <c r="I46">
        <f t="shared" si="0"/>
        <v>2905.9690663565739</v>
      </c>
      <c r="J46" s="71">
        <v>1.6</v>
      </c>
    </row>
    <row r="47" spans="1:10" x14ac:dyDescent="0.3">
      <c r="A47">
        <v>40003</v>
      </c>
      <c r="B47">
        <v>20002</v>
      </c>
      <c r="C47">
        <v>30001</v>
      </c>
      <c r="D47">
        <v>4000</v>
      </c>
      <c r="E47">
        <f>VLOOKUP(B47,[2]DC!A:H,7,FALSE)</f>
        <v>32.777856</v>
      </c>
      <c r="F47">
        <f>VLOOKUP(B47,[2]DC!A:H,8,FALSE)</f>
        <v>-96.760088100000004</v>
      </c>
      <c r="G47">
        <f>VLOOKUP(C:C,[2]Dealer!A:H,7,0)</f>
        <v>34.726982700000001</v>
      </c>
      <c r="H47">
        <f>VLOOKUP(C:C,[2]Dealer!A:H,8,0)</f>
        <v>-86.590785600000004</v>
      </c>
      <c r="I47">
        <f t="shared" si="0"/>
        <v>964.36062769311445</v>
      </c>
      <c r="J47" s="71">
        <v>1.1000000000000001</v>
      </c>
    </row>
    <row r="48" spans="1:10" x14ac:dyDescent="0.3">
      <c r="A48">
        <v>40003</v>
      </c>
      <c r="B48">
        <v>20002</v>
      </c>
      <c r="C48">
        <v>30001</v>
      </c>
      <c r="D48">
        <v>0</v>
      </c>
      <c r="E48">
        <f>VLOOKUP(B48,[2]DC!A:H,7,FALSE)</f>
        <v>32.777856</v>
      </c>
      <c r="F48">
        <f>VLOOKUP(B48,[2]DC!A:H,8,FALSE)</f>
        <v>-96.760088100000004</v>
      </c>
      <c r="G48">
        <f>VLOOKUP(C:C,[2]Dealer!A:H,7,0)</f>
        <v>34.726982700000001</v>
      </c>
      <c r="H48">
        <f>VLOOKUP(C:C,[2]Dealer!A:H,8,0)</f>
        <v>-86.590785600000004</v>
      </c>
      <c r="I48">
        <f t="shared" si="0"/>
        <v>964.36062769311445</v>
      </c>
      <c r="J48" s="71">
        <v>1.1000000000000001</v>
      </c>
    </row>
    <row r="49" spans="1:10" x14ac:dyDescent="0.3">
      <c r="A49">
        <v>40003</v>
      </c>
      <c r="B49">
        <v>20002</v>
      </c>
      <c r="C49">
        <v>30001</v>
      </c>
      <c r="D49">
        <v>16000</v>
      </c>
      <c r="E49">
        <f>VLOOKUP(B49,[2]DC!A:H,7,FALSE)</f>
        <v>32.777856</v>
      </c>
      <c r="F49">
        <f>VLOOKUP(B49,[2]DC!A:H,8,FALSE)</f>
        <v>-96.760088100000004</v>
      </c>
      <c r="G49">
        <f>VLOOKUP(C:C,[2]Dealer!A:H,7,0)</f>
        <v>34.726982700000001</v>
      </c>
      <c r="H49">
        <f>VLOOKUP(C:C,[2]Dealer!A:H,8,0)</f>
        <v>-86.590785600000004</v>
      </c>
      <c r="I49">
        <f t="shared" si="0"/>
        <v>964.36062769311445</v>
      </c>
      <c r="J49" s="71">
        <v>0.9</v>
      </c>
    </row>
    <row r="50" spans="1:10" x14ac:dyDescent="0.3">
      <c r="A50">
        <v>40003</v>
      </c>
      <c r="B50">
        <v>20002</v>
      </c>
      <c r="C50">
        <v>30001</v>
      </c>
      <c r="D50">
        <v>0</v>
      </c>
      <c r="E50">
        <f>VLOOKUP(B50,[2]DC!A:H,7,FALSE)</f>
        <v>32.777856</v>
      </c>
      <c r="F50">
        <f>VLOOKUP(B50,[2]DC!A:H,8,FALSE)</f>
        <v>-96.760088100000004</v>
      </c>
      <c r="G50">
        <f>VLOOKUP(C:C,[2]Dealer!A:H,7,0)</f>
        <v>34.726982700000001</v>
      </c>
      <c r="H50">
        <f>VLOOKUP(C:C,[2]Dealer!A:H,8,0)</f>
        <v>-86.590785600000004</v>
      </c>
      <c r="I50">
        <f t="shared" si="0"/>
        <v>964.36062769311445</v>
      </c>
      <c r="J50" s="71">
        <v>1.4</v>
      </c>
    </row>
    <row r="51" spans="1:10" x14ac:dyDescent="0.3">
      <c r="A51">
        <v>40003</v>
      </c>
      <c r="B51">
        <v>20002</v>
      </c>
      <c r="C51">
        <v>30001</v>
      </c>
      <c r="D51">
        <v>0</v>
      </c>
      <c r="E51">
        <f>VLOOKUP(B51,[2]DC!A:H,7,FALSE)</f>
        <v>32.777856</v>
      </c>
      <c r="F51">
        <f>VLOOKUP(B51,[2]DC!A:H,8,FALSE)</f>
        <v>-96.760088100000004</v>
      </c>
      <c r="G51">
        <f>VLOOKUP(C:C,[2]Dealer!A:H,7,0)</f>
        <v>34.726982700000001</v>
      </c>
      <c r="H51">
        <f>VLOOKUP(C:C,[2]Dealer!A:H,8,0)</f>
        <v>-86.590785600000004</v>
      </c>
      <c r="I51">
        <f t="shared" si="0"/>
        <v>964.36062769311445</v>
      </c>
      <c r="J51" s="71">
        <v>1.75</v>
      </c>
    </row>
    <row r="52" spans="1:10" x14ac:dyDescent="0.3">
      <c r="A52">
        <v>40003</v>
      </c>
      <c r="B52">
        <v>20003</v>
      </c>
      <c r="C52">
        <v>30001</v>
      </c>
      <c r="D52">
        <v>8500</v>
      </c>
      <c r="E52">
        <f>VLOOKUP(B52,[2]DC!A:H,7,FALSE)</f>
        <v>39.077025300000003</v>
      </c>
      <c r="F52">
        <f>VLOOKUP(B52,[2]DC!A:H,8,FALSE)</f>
        <v>-94.586092199999996</v>
      </c>
      <c r="G52">
        <f>VLOOKUP(C:C,[2]Dealer!A:H,7,0)</f>
        <v>34.726982700000001</v>
      </c>
      <c r="H52">
        <f>VLOOKUP(C:C,[2]Dealer!A:H,8,0)</f>
        <v>-86.590785600000004</v>
      </c>
      <c r="I52">
        <f t="shared" si="0"/>
        <v>859.32614173574927</v>
      </c>
      <c r="J52" s="71">
        <v>1.25</v>
      </c>
    </row>
    <row r="53" spans="1:10" x14ac:dyDescent="0.3">
      <c r="A53">
        <v>40003</v>
      </c>
      <c r="B53">
        <v>20003</v>
      </c>
      <c r="C53">
        <v>30001</v>
      </c>
      <c r="D53">
        <v>0</v>
      </c>
      <c r="E53">
        <f>VLOOKUP(B53,[2]DC!A:H,7,FALSE)</f>
        <v>39.077025300000003</v>
      </c>
      <c r="F53">
        <f>VLOOKUP(B53,[2]DC!A:H,8,FALSE)</f>
        <v>-94.586092199999996</v>
      </c>
      <c r="G53">
        <f>VLOOKUP(C:C,[2]Dealer!A:H,7,0)</f>
        <v>34.726982700000001</v>
      </c>
      <c r="H53">
        <f>VLOOKUP(C:C,[2]Dealer!A:H,8,0)</f>
        <v>-86.590785600000004</v>
      </c>
      <c r="I53">
        <f t="shared" si="0"/>
        <v>859.32614173574927</v>
      </c>
      <c r="J53" s="71">
        <v>1.2</v>
      </c>
    </row>
    <row r="54" spans="1:10" x14ac:dyDescent="0.3">
      <c r="A54">
        <v>40003</v>
      </c>
      <c r="B54">
        <v>20003</v>
      </c>
      <c r="C54">
        <v>30001</v>
      </c>
      <c r="D54">
        <v>0</v>
      </c>
      <c r="E54">
        <f>VLOOKUP(B54,[2]DC!A:H,7,FALSE)</f>
        <v>39.077025300000003</v>
      </c>
      <c r="F54">
        <f>VLOOKUP(B54,[2]DC!A:H,8,FALSE)</f>
        <v>-94.586092199999996</v>
      </c>
      <c r="G54">
        <f>VLOOKUP(C:C,[2]Dealer!A:H,7,0)</f>
        <v>34.726982700000001</v>
      </c>
      <c r="H54">
        <f>VLOOKUP(C:C,[2]Dealer!A:H,8,0)</f>
        <v>-86.590785600000004</v>
      </c>
      <c r="I54">
        <f t="shared" si="0"/>
        <v>859.32614173574927</v>
      </c>
      <c r="J54" s="71">
        <v>1.75</v>
      </c>
    </row>
    <row r="55" spans="1:10" x14ac:dyDescent="0.3">
      <c r="A55">
        <v>40003</v>
      </c>
      <c r="B55">
        <v>20003</v>
      </c>
      <c r="C55">
        <v>30001</v>
      </c>
      <c r="D55">
        <v>0</v>
      </c>
      <c r="E55">
        <f>VLOOKUP(B55,[2]DC!A:H,7,FALSE)</f>
        <v>39.077025300000003</v>
      </c>
      <c r="F55">
        <f>VLOOKUP(B55,[2]DC!A:H,8,FALSE)</f>
        <v>-94.586092199999996</v>
      </c>
      <c r="G55">
        <f>VLOOKUP(C:C,[2]Dealer!A:H,7,0)</f>
        <v>34.726982700000001</v>
      </c>
      <c r="H55">
        <f>VLOOKUP(C:C,[2]Dealer!A:H,8,0)</f>
        <v>-86.590785600000004</v>
      </c>
      <c r="I55">
        <f t="shared" si="0"/>
        <v>859.32614173574927</v>
      </c>
      <c r="J55" s="71">
        <v>1.7</v>
      </c>
    </row>
    <row r="56" spans="1:10" x14ac:dyDescent="0.3">
      <c r="A56">
        <v>40003</v>
      </c>
      <c r="B56">
        <v>20003</v>
      </c>
      <c r="C56">
        <v>30001</v>
      </c>
      <c r="D56">
        <v>6000</v>
      </c>
      <c r="E56">
        <f>VLOOKUP(B56,[2]DC!A:H,7,FALSE)</f>
        <v>39.077025300000003</v>
      </c>
      <c r="F56">
        <f>VLOOKUP(B56,[2]DC!A:H,8,FALSE)</f>
        <v>-94.586092199999996</v>
      </c>
      <c r="G56">
        <f>VLOOKUP(C:C,[2]Dealer!A:H,7,0)</f>
        <v>34.726982700000001</v>
      </c>
      <c r="H56">
        <f>VLOOKUP(C:C,[2]Dealer!A:H,8,0)</f>
        <v>-86.590785600000004</v>
      </c>
      <c r="I56">
        <f t="shared" si="0"/>
        <v>859.32614173574927</v>
      </c>
      <c r="J56" s="71">
        <v>0.85</v>
      </c>
    </row>
    <row r="57" spans="1:10" x14ac:dyDescent="0.3">
      <c r="A57">
        <v>40003</v>
      </c>
      <c r="B57">
        <v>20004</v>
      </c>
      <c r="C57">
        <v>30001</v>
      </c>
      <c r="D57">
        <v>0</v>
      </c>
      <c r="E57">
        <f>VLOOKUP(B57,[2]DC!A:H,7,FALSE)</f>
        <v>39.773898099999997</v>
      </c>
      <c r="F57">
        <f>VLOOKUP(B57,[2]DC!A:H,8,FALSE)</f>
        <v>-86.176306199999999</v>
      </c>
      <c r="G57">
        <f>VLOOKUP(C:C,[2]Dealer!A:H,7,0)</f>
        <v>34.726982700000001</v>
      </c>
      <c r="H57">
        <f>VLOOKUP(C:C,[2]Dealer!A:H,8,0)</f>
        <v>-86.590785600000004</v>
      </c>
      <c r="I57">
        <f t="shared" si="0"/>
        <v>562.3870980795781</v>
      </c>
      <c r="J57" s="71">
        <v>1.5</v>
      </c>
    </row>
    <row r="58" spans="1:10" x14ac:dyDescent="0.3">
      <c r="A58">
        <v>40003</v>
      </c>
      <c r="B58">
        <v>20004</v>
      </c>
      <c r="C58">
        <v>30001</v>
      </c>
      <c r="D58">
        <v>0</v>
      </c>
      <c r="E58">
        <f>VLOOKUP(B58,[2]DC!A:H,7,FALSE)</f>
        <v>39.773898099999997</v>
      </c>
      <c r="F58">
        <f>VLOOKUP(B58,[2]DC!A:H,8,FALSE)</f>
        <v>-86.176306199999999</v>
      </c>
      <c r="G58">
        <f>VLOOKUP(C:C,[2]Dealer!A:H,7,0)</f>
        <v>34.726982700000001</v>
      </c>
      <c r="H58">
        <f>VLOOKUP(C:C,[2]Dealer!A:H,8,0)</f>
        <v>-86.590785600000004</v>
      </c>
      <c r="I58">
        <f t="shared" si="0"/>
        <v>562.3870980795781</v>
      </c>
      <c r="J58" s="71">
        <v>1.1000000000000001</v>
      </c>
    </row>
    <row r="59" spans="1:10" x14ac:dyDescent="0.3">
      <c r="A59">
        <v>40003</v>
      </c>
      <c r="B59">
        <v>20004</v>
      </c>
      <c r="C59">
        <v>30001</v>
      </c>
      <c r="D59">
        <v>0</v>
      </c>
      <c r="E59">
        <f>VLOOKUP(B59,[2]DC!A:H,7,FALSE)</f>
        <v>39.773898099999997</v>
      </c>
      <c r="F59">
        <f>VLOOKUP(B59,[2]DC!A:H,8,FALSE)</f>
        <v>-86.176306199999999</v>
      </c>
      <c r="G59">
        <f>VLOOKUP(C:C,[2]Dealer!A:H,7,0)</f>
        <v>34.726982700000001</v>
      </c>
      <c r="H59">
        <f>VLOOKUP(C:C,[2]Dealer!A:H,8,0)</f>
        <v>-86.590785600000004</v>
      </c>
      <c r="I59">
        <f t="shared" si="0"/>
        <v>562.3870980795781</v>
      </c>
      <c r="J59" s="71">
        <v>1.5</v>
      </c>
    </row>
    <row r="60" spans="1:10" x14ac:dyDescent="0.3">
      <c r="A60">
        <v>40003</v>
      </c>
      <c r="B60">
        <v>20004</v>
      </c>
      <c r="C60">
        <v>30001</v>
      </c>
      <c r="D60">
        <v>1000</v>
      </c>
      <c r="E60">
        <f>VLOOKUP(B60,[2]DC!A:H,7,FALSE)</f>
        <v>39.773898099999997</v>
      </c>
      <c r="F60">
        <f>VLOOKUP(B60,[2]DC!A:H,8,FALSE)</f>
        <v>-86.176306199999999</v>
      </c>
      <c r="G60">
        <f>VLOOKUP(C:C,[2]Dealer!A:H,7,0)</f>
        <v>34.726982700000001</v>
      </c>
      <c r="H60">
        <f>VLOOKUP(C:C,[2]Dealer!A:H,8,0)</f>
        <v>-86.590785600000004</v>
      </c>
      <c r="I60">
        <f t="shared" si="0"/>
        <v>562.3870980795781</v>
      </c>
      <c r="J60" s="71">
        <v>1.1000000000000001</v>
      </c>
    </row>
    <row r="61" spans="1:10" x14ac:dyDescent="0.3">
      <c r="A61">
        <v>40003</v>
      </c>
      <c r="B61">
        <v>20004</v>
      </c>
      <c r="C61">
        <v>30001</v>
      </c>
      <c r="D61">
        <v>19000</v>
      </c>
      <c r="E61">
        <f>VLOOKUP(B61,[2]DC!A:H,7,FALSE)</f>
        <v>39.773898099999997</v>
      </c>
      <c r="F61">
        <f>VLOOKUP(B61,[2]DC!A:H,8,FALSE)</f>
        <v>-86.176306199999999</v>
      </c>
      <c r="G61">
        <f>VLOOKUP(C:C,[2]Dealer!A:H,7,0)</f>
        <v>34.726982700000001</v>
      </c>
      <c r="H61">
        <f>VLOOKUP(C:C,[2]Dealer!A:H,8,0)</f>
        <v>-86.590785600000004</v>
      </c>
      <c r="I61">
        <f t="shared" si="0"/>
        <v>562.3870980795781</v>
      </c>
      <c r="J61" s="71">
        <v>0.9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3"/>
  <sheetViews>
    <sheetView showGridLines="0" zoomScaleNormal="100" workbookViewId="0">
      <pane xSplit="2" ySplit="5" topLeftCell="C18" activePane="bottomRight" state="frozen"/>
      <selection pane="topRight" activeCell="C1" sqref="C1"/>
      <selection pane="bottomLeft" activeCell="A6" sqref="A6"/>
      <selection pane="bottomRight" activeCell="K5" sqref="K5"/>
    </sheetView>
  </sheetViews>
  <sheetFormatPr defaultRowHeight="14.4" x14ac:dyDescent="0.3"/>
  <cols>
    <col min="1" max="1" width="4.6640625" customWidth="1"/>
    <col min="2" max="2" width="17.6640625" customWidth="1"/>
    <col min="3" max="3" width="28.88671875" style="4" customWidth="1"/>
    <col min="4" max="4" width="28.6640625" style="4" customWidth="1"/>
    <col min="5" max="5" width="16.88671875" style="4" customWidth="1"/>
    <col min="6" max="6" width="12.33203125" style="4" customWidth="1"/>
    <col min="7" max="7" width="11.44140625" style="33" customWidth="1"/>
    <col min="8" max="8" width="15.109375" style="4" customWidth="1"/>
    <col min="9" max="9" width="18.21875" customWidth="1"/>
    <col min="10" max="10" width="15" customWidth="1"/>
  </cols>
  <sheetData>
    <row r="1" spans="1:19" ht="46.95" customHeight="1" x14ac:dyDescent="0.3">
      <c r="A1" s="4"/>
      <c r="C1"/>
      <c r="D1"/>
      <c r="E1"/>
      <c r="F1"/>
      <c r="G1" s="6"/>
      <c r="H1"/>
    </row>
    <row r="2" spans="1:19" x14ac:dyDescent="0.3">
      <c r="B2" t="s">
        <v>238</v>
      </c>
      <c r="C2"/>
      <c r="D2"/>
      <c r="E2" t="s">
        <v>239</v>
      </c>
      <c r="F2">
        <v>3423</v>
      </c>
      <c r="G2" s="6">
        <v>3223</v>
      </c>
      <c r="H2"/>
      <c r="S2">
        <f>MAX(B9:B26)</f>
        <v>60021</v>
      </c>
    </row>
    <row r="3" spans="1:19" x14ac:dyDescent="0.3">
      <c r="B3" t="s">
        <v>240</v>
      </c>
      <c r="C3"/>
      <c r="D3"/>
      <c r="E3" t="s">
        <v>241</v>
      </c>
      <c r="F3">
        <v>4234</v>
      </c>
      <c r="G3" s="6">
        <v>21342</v>
      </c>
      <c r="H3"/>
    </row>
    <row r="4" spans="1:19" x14ac:dyDescent="0.3">
      <c r="C4"/>
      <c r="D4"/>
      <c r="E4" t="s">
        <v>242</v>
      </c>
      <c r="F4">
        <v>234234</v>
      </c>
      <c r="G4" s="6">
        <v>3242</v>
      </c>
      <c r="H4"/>
    </row>
    <row r="5" spans="1:19" x14ac:dyDescent="0.3">
      <c r="B5" s="69" t="s">
        <v>243</v>
      </c>
      <c r="C5" s="45" t="s">
        <v>16</v>
      </c>
      <c r="D5" s="45" t="s">
        <v>19</v>
      </c>
      <c r="E5" s="45" t="s">
        <v>20</v>
      </c>
      <c r="F5" s="45" t="s">
        <v>15</v>
      </c>
      <c r="G5" s="46" t="s">
        <v>182</v>
      </c>
      <c r="H5" s="45" t="s">
        <v>18</v>
      </c>
      <c r="I5" s="45" t="s">
        <v>304</v>
      </c>
      <c r="J5" s="45" t="s">
        <v>305</v>
      </c>
    </row>
    <row r="6" spans="1:19" x14ac:dyDescent="0.3">
      <c r="B6">
        <v>60001</v>
      </c>
      <c r="C6" s="4" t="s">
        <v>117</v>
      </c>
      <c r="D6" s="4" t="s">
        <v>29</v>
      </c>
      <c r="E6" s="4" t="s">
        <v>21</v>
      </c>
      <c r="F6" s="4" t="s">
        <v>57</v>
      </c>
      <c r="H6" s="4" t="s">
        <v>244</v>
      </c>
    </row>
    <row r="7" spans="1:19" x14ac:dyDescent="0.3">
      <c r="B7">
        <v>60002</v>
      </c>
      <c r="C7" s="4" t="s">
        <v>88</v>
      </c>
      <c r="D7" s="4" t="s">
        <v>31</v>
      </c>
      <c r="E7" s="4" t="s">
        <v>22</v>
      </c>
      <c r="F7" s="4" t="s">
        <v>84</v>
      </c>
      <c r="H7" s="4" t="s">
        <v>245</v>
      </c>
    </row>
    <row r="8" spans="1:19" x14ac:dyDescent="0.3">
      <c r="B8">
        <v>60003</v>
      </c>
      <c r="C8" s="4" t="s">
        <v>121</v>
      </c>
      <c r="D8" s="4" t="s">
        <v>33</v>
      </c>
      <c r="E8" s="4" t="s">
        <v>23</v>
      </c>
      <c r="F8" s="4" t="s">
        <v>85</v>
      </c>
      <c r="H8" s="4" t="s">
        <v>246</v>
      </c>
    </row>
    <row r="9" spans="1:19" x14ac:dyDescent="0.3">
      <c r="B9">
        <v>60004</v>
      </c>
      <c r="C9" s="4" t="s">
        <v>119</v>
      </c>
      <c r="D9" s="4" t="s">
        <v>35</v>
      </c>
      <c r="E9" s="4" t="s">
        <v>24</v>
      </c>
      <c r="F9" s="4" t="s">
        <v>86</v>
      </c>
      <c r="H9" s="4" t="s">
        <v>247</v>
      </c>
    </row>
    <row r="10" spans="1:19" x14ac:dyDescent="0.3">
      <c r="B10">
        <v>60005</v>
      </c>
      <c r="C10" s="4" t="s">
        <v>89</v>
      </c>
      <c r="D10" s="4" t="s">
        <v>37</v>
      </c>
      <c r="E10" s="4" t="s">
        <v>25</v>
      </c>
      <c r="F10" s="4" t="s">
        <v>87</v>
      </c>
      <c r="H10" s="4" t="s">
        <v>248</v>
      </c>
    </row>
    <row r="11" spans="1:19" x14ac:dyDescent="0.3">
      <c r="B11">
        <v>60006</v>
      </c>
      <c r="C11" s="4" t="s">
        <v>90</v>
      </c>
      <c r="D11" s="4" t="s">
        <v>39</v>
      </c>
      <c r="E11" s="4" t="s">
        <v>26</v>
      </c>
      <c r="F11" s="4" t="s">
        <v>82</v>
      </c>
      <c r="H11" s="4" t="s">
        <v>249</v>
      </c>
    </row>
    <row r="12" spans="1:19" x14ac:dyDescent="0.3">
      <c r="B12">
        <v>60007</v>
      </c>
      <c r="C12" s="4" t="s">
        <v>91</v>
      </c>
      <c r="D12" s="4" t="s">
        <v>41</v>
      </c>
      <c r="E12" s="4" t="s">
        <v>27</v>
      </c>
      <c r="F12" s="4" t="s">
        <v>83</v>
      </c>
      <c r="H12" s="4" t="s">
        <v>250</v>
      </c>
    </row>
    <row r="13" spans="1:19" x14ac:dyDescent="0.3">
      <c r="B13">
        <v>60008</v>
      </c>
      <c r="C13" s="4" t="s">
        <v>118</v>
      </c>
      <c r="D13" s="4" t="s">
        <v>43</v>
      </c>
      <c r="E13" s="4" t="s">
        <v>28</v>
      </c>
      <c r="F13" s="4" t="s">
        <v>57</v>
      </c>
      <c r="H13" s="4" t="s">
        <v>251</v>
      </c>
    </row>
    <row r="14" spans="1:19" x14ac:dyDescent="0.3">
      <c r="B14">
        <v>60009</v>
      </c>
      <c r="C14" s="4" t="s">
        <v>94</v>
      </c>
      <c r="D14" s="4" t="s">
        <v>45</v>
      </c>
      <c r="E14" s="4" t="s">
        <v>30</v>
      </c>
      <c r="F14" s="4" t="s">
        <v>84</v>
      </c>
      <c r="H14" s="4" t="s">
        <v>252</v>
      </c>
    </row>
    <row r="15" spans="1:19" x14ac:dyDescent="0.3">
      <c r="B15">
        <v>60010</v>
      </c>
      <c r="C15" s="4" t="s">
        <v>98</v>
      </c>
      <c r="D15" s="4" t="s">
        <v>47</v>
      </c>
      <c r="E15" s="4" t="s">
        <v>32</v>
      </c>
      <c r="F15" s="4" t="s">
        <v>85</v>
      </c>
      <c r="H15" s="4" t="s">
        <v>253</v>
      </c>
    </row>
    <row r="16" spans="1:19" x14ac:dyDescent="0.3">
      <c r="B16">
        <v>60011</v>
      </c>
      <c r="C16" s="4" t="s">
        <v>93</v>
      </c>
      <c r="D16" s="4" t="s">
        <v>49</v>
      </c>
      <c r="E16" s="4" t="s">
        <v>34</v>
      </c>
      <c r="F16" s="4" t="s">
        <v>86</v>
      </c>
      <c r="H16" s="4" t="s">
        <v>254</v>
      </c>
    </row>
    <row r="17" spans="2:10" x14ac:dyDescent="0.3">
      <c r="B17">
        <v>60012</v>
      </c>
      <c r="C17" s="4" t="s">
        <v>96</v>
      </c>
      <c r="D17" s="4" t="s">
        <v>51</v>
      </c>
      <c r="E17" s="4" t="s">
        <v>36</v>
      </c>
      <c r="F17" s="4" t="s">
        <v>87</v>
      </c>
      <c r="H17" s="4" t="s">
        <v>255</v>
      </c>
    </row>
    <row r="18" spans="2:10" x14ac:dyDescent="0.3">
      <c r="B18">
        <v>60013</v>
      </c>
      <c r="C18" s="4" t="s">
        <v>99</v>
      </c>
      <c r="D18" s="4" t="s">
        <v>53</v>
      </c>
      <c r="E18" s="4" t="s">
        <v>38</v>
      </c>
      <c r="F18" s="4" t="s">
        <v>82</v>
      </c>
      <c r="H18" s="4" t="s">
        <v>256</v>
      </c>
    </row>
    <row r="19" spans="2:10" x14ac:dyDescent="0.3">
      <c r="B19">
        <v>60014</v>
      </c>
      <c r="C19" s="4" t="s">
        <v>92</v>
      </c>
      <c r="D19" s="4" t="s">
        <v>54</v>
      </c>
      <c r="E19" s="4" t="s">
        <v>40</v>
      </c>
      <c r="F19" s="4" t="s">
        <v>83</v>
      </c>
      <c r="H19" s="4" t="s">
        <v>257</v>
      </c>
    </row>
    <row r="20" spans="2:10" x14ac:dyDescent="0.3">
      <c r="B20">
        <v>60015</v>
      </c>
      <c r="C20" s="4" t="s">
        <v>100</v>
      </c>
      <c r="D20" s="4" t="s">
        <v>55</v>
      </c>
      <c r="E20" s="4" t="s">
        <v>42</v>
      </c>
      <c r="F20" s="4" t="s">
        <v>57</v>
      </c>
      <c r="H20" s="4" t="s">
        <v>258</v>
      </c>
    </row>
    <row r="21" spans="2:10" x14ac:dyDescent="0.3">
      <c r="B21">
        <v>60016</v>
      </c>
      <c r="C21" s="4" t="s">
        <v>95</v>
      </c>
      <c r="D21" s="4" t="s">
        <v>56</v>
      </c>
      <c r="E21" s="4" t="s">
        <v>44</v>
      </c>
      <c r="F21" s="4" t="s">
        <v>84</v>
      </c>
      <c r="H21" s="4" t="s">
        <v>259</v>
      </c>
    </row>
    <row r="22" spans="2:10" x14ac:dyDescent="0.3">
      <c r="B22">
        <v>60017</v>
      </c>
      <c r="C22" s="4" t="s">
        <v>101</v>
      </c>
      <c r="D22" s="4" t="s">
        <v>58</v>
      </c>
      <c r="E22" s="4" t="s">
        <v>46</v>
      </c>
      <c r="F22" s="4" t="s">
        <v>85</v>
      </c>
      <c r="H22" s="4" t="s">
        <v>260</v>
      </c>
    </row>
    <row r="23" spans="2:10" x14ac:dyDescent="0.3">
      <c r="B23">
        <v>60018</v>
      </c>
      <c r="C23" s="4" t="s">
        <v>97</v>
      </c>
      <c r="D23" s="4" t="s">
        <v>59</v>
      </c>
      <c r="E23" s="4" t="s">
        <v>48</v>
      </c>
      <c r="F23" s="4" t="s">
        <v>86</v>
      </c>
      <c r="H23" s="4" t="s">
        <v>261</v>
      </c>
    </row>
    <row r="24" spans="2:10" x14ac:dyDescent="0.3">
      <c r="B24">
        <v>60019</v>
      </c>
      <c r="C24" s="4" t="s">
        <v>122</v>
      </c>
      <c r="D24" s="4" t="s">
        <v>60</v>
      </c>
      <c r="E24" s="4" t="s">
        <v>50</v>
      </c>
      <c r="F24" s="4" t="s">
        <v>87</v>
      </c>
      <c r="H24" s="4" t="s">
        <v>262</v>
      </c>
    </row>
    <row r="25" spans="2:10" x14ac:dyDescent="0.3">
      <c r="B25">
        <v>60020</v>
      </c>
      <c r="C25" s="4" t="s">
        <v>102</v>
      </c>
      <c r="D25" s="4" t="s">
        <v>61</v>
      </c>
      <c r="E25" s="4" t="s">
        <v>52</v>
      </c>
      <c r="F25" s="4" t="s">
        <v>82</v>
      </c>
      <c r="H25" s="4" t="s">
        <v>263</v>
      </c>
    </row>
    <row r="26" spans="2:10" x14ac:dyDescent="0.3">
      <c r="B26">
        <v>60021</v>
      </c>
      <c r="C26" s="4" t="s">
        <v>181</v>
      </c>
      <c r="D26" s="4" t="s">
        <v>62</v>
      </c>
      <c r="E26" s="4" t="s">
        <v>264</v>
      </c>
      <c r="F26" s="4" t="s">
        <v>83</v>
      </c>
      <c r="H26" s="4" t="s">
        <v>265</v>
      </c>
    </row>
    <row r="27" spans="2:10" x14ac:dyDescent="0.3">
      <c r="B27">
        <v>60022</v>
      </c>
      <c r="C27" s="4" t="s">
        <v>278</v>
      </c>
      <c r="D27" s="4" t="s">
        <v>276</v>
      </c>
      <c r="E27" s="4" t="s">
        <v>277</v>
      </c>
      <c r="F27" s="4" t="s">
        <v>273</v>
      </c>
      <c r="G27" s="33">
        <v>32342</v>
      </c>
      <c r="H27" s="4">
        <v>324232</v>
      </c>
      <c r="I27">
        <v>33.419053099999999</v>
      </c>
      <c r="J27">
        <v>-111.92094</v>
      </c>
    </row>
    <row r="28" spans="2:10" x14ac:dyDescent="0.3">
      <c r="B28">
        <v>60023</v>
      </c>
      <c r="C28" s="4" t="s">
        <v>302</v>
      </c>
      <c r="D28" s="4" t="s">
        <v>303</v>
      </c>
      <c r="E28" s="4" t="s">
        <v>274</v>
      </c>
      <c r="F28" s="4" t="s">
        <v>230</v>
      </c>
      <c r="G28" s="33">
        <v>33456</v>
      </c>
      <c r="H28" s="4">
        <v>3423534</v>
      </c>
      <c r="I28">
        <v>32.809864500000003</v>
      </c>
      <c r="J28">
        <v>-96.763120400000005</v>
      </c>
    </row>
    <row r="29" spans="2:10" x14ac:dyDescent="0.3">
      <c r="B29">
        <v>60019</v>
      </c>
      <c r="C29" s="4" t="s">
        <v>122</v>
      </c>
      <c r="D29" s="4" t="s">
        <v>60</v>
      </c>
      <c r="E29" s="4" t="s">
        <v>50</v>
      </c>
      <c r="F29" s="4" t="s">
        <v>87</v>
      </c>
      <c r="H29" s="4" t="s">
        <v>262</v>
      </c>
    </row>
    <row r="30" spans="2:10" x14ac:dyDescent="0.3">
      <c r="B30">
        <v>60020</v>
      </c>
      <c r="C30" s="4" t="s">
        <v>102</v>
      </c>
      <c r="D30" s="4" t="s">
        <v>61</v>
      </c>
      <c r="E30" s="4" t="s">
        <v>52</v>
      </c>
      <c r="F30" s="4" t="s">
        <v>82</v>
      </c>
      <c r="H30" s="4" t="s">
        <v>263</v>
      </c>
    </row>
    <row r="31" spans="2:10" x14ac:dyDescent="0.3">
      <c r="B31">
        <v>60021</v>
      </c>
      <c r="C31" s="4" t="s">
        <v>181</v>
      </c>
      <c r="D31" s="4" t="s">
        <v>62</v>
      </c>
      <c r="E31" s="4" t="s">
        <v>264</v>
      </c>
      <c r="F31" s="4" t="s">
        <v>83</v>
      </c>
      <c r="H31" s="4" t="s">
        <v>265</v>
      </c>
    </row>
    <row r="32" spans="2:10" x14ac:dyDescent="0.3">
      <c r="B32">
        <v>60022</v>
      </c>
      <c r="C32" s="4" t="s">
        <v>266</v>
      </c>
      <c r="D32" s="4" t="s">
        <v>267</v>
      </c>
      <c r="E32" s="4" t="s">
        <v>268</v>
      </c>
      <c r="F32" s="4" t="s">
        <v>269</v>
      </c>
      <c r="G32" s="33">
        <v>85281</v>
      </c>
      <c r="H32" s="4">
        <v>4564564</v>
      </c>
    </row>
    <row r="33" spans="2:8" x14ac:dyDescent="0.3">
      <c r="B33">
        <v>60023</v>
      </c>
      <c r="C33" s="4" t="s">
        <v>270</v>
      </c>
      <c r="D33" s="4" t="s">
        <v>271</v>
      </c>
      <c r="E33" s="4" t="s">
        <v>272</v>
      </c>
      <c r="F33" s="4" t="s">
        <v>273</v>
      </c>
      <c r="G33" s="33">
        <v>85281</v>
      </c>
      <c r="H33" s="4">
        <v>34234</v>
      </c>
    </row>
  </sheetData>
  <sheetProtection formatCells="0" selectLockedCells="1" sort="0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30</vt:i4>
      </vt:variant>
    </vt:vector>
  </HeadingPairs>
  <TitlesOfParts>
    <vt:vector size="43" baseType="lpstr">
      <vt:lpstr>Interface</vt:lpstr>
      <vt:lpstr>Plant</vt:lpstr>
      <vt:lpstr>Distribution_Center</vt:lpstr>
      <vt:lpstr>Optimization</vt:lpstr>
      <vt:lpstr>Orders</vt:lpstr>
      <vt:lpstr>Products</vt:lpstr>
      <vt:lpstr>Manufactures</vt:lpstr>
      <vt:lpstr>Stores</vt:lpstr>
      <vt:lpstr>Requires</vt:lpstr>
      <vt:lpstr>ShipsPL_DC</vt:lpstr>
      <vt:lpstr>Dealer</vt:lpstr>
      <vt:lpstr>ShipDC_D</vt:lpstr>
      <vt:lpstr>Customer</vt:lpstr>
      <vt:lpstr>AllOrdered</vt:lpstr>
      <vt:lpstr>AllOrders</vt:lpstr>
      <vt:lpstr>AllProduct</vt:lpstr>
      <vt:lpstr>AllProducts</vt:lpstr>
      <vt:lpstr>AllReceived</vt:lpstr>
      <vt:lpstr>Cascade</vt:lpstr>
      <vt:lpstr>Category</vt:lpstr>
      <vt:lpstr>Category1</vt:lpstr>
      <vt:lpstr>Interface!Criteria</vt:lpstr>
      <vt:lpstr>Customers</vt:lpstr>
      <vt:lpstr>CustomerSheet</vt:lpstr>
      <vt:lpstr>Optimization!Demand</vt:lpstr>
      <vt:lpstr>Interface!Extract</vt:lpstr>
      <vt:lpstr>Optimization!Factory_capacity</vt:lpstr>
      <vt:lpstr>Optimization!Factory_to_warehouse</vt:lpstr>
      <vt:lpstr>GoHome</vt:lpstr>
      <vt:lpstr>OrderSheet</vt:lpstr>
      <vt:lpstr>Products</vt:lpstr>
      <vt:lpstr>ReceivedTot</vt:lpstr>
      <vt:lpstr>Reorder1</vt:lpstr>
      <vt:lpstr>Reorder2</vt:lpstr>
      <vt:lpstr>StockSheet</vt:lpstr>
      <vt:lpstr>Supplier</vt:lpstr>
      <vt:lpstr>Optimization!Total_cost</vt:lpstr>
      <vt:lpstr>Optimization!Total_from_factory</vt:lpstr>
      <vt:lpstr>Optimization!Total_from_warehouse</vt:lpstr>
      <vt:lpstr>Optimization!Total_to_customer</vt:lpstr>
      <vt:lpstr>Optimization!Total_to_warehouse</vt:lpstr>
      <vt:lpstr>Optimization!Warehouse_capacity</vt:lpstr>
      <vt:lpstr>Optimization!Warehouse_customer</vt:lpstr>
    </vt:vector>
  </TitlesOfParts>
  <Company>Online PC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Swati</cp:lastModifiedBy>
  <dcterms:created xsi:type="dcterms:W3CDTF">2013-06-14T19:48:41Z</dcterms:created>
  <dcterms:modified xsi:type="dcterms:W3CDTF">2017-04-27T06:38:47Z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ff2fbfb8-c00b-4cab-a7a2-dc062dce41da</vt:lpwstr>
  </property>
</Properties>
</file>